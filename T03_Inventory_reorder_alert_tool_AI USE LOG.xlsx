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MC\Downloads\"/>
    </mc:Choice>
  </mc:AlternateContent>
  <xr:revisionPtr revIDLastSave="0" documentId="13_ncr:1_{411EE97C-A972-4663-AE6B-E6148B751A61}" xr6:coauthVersionLast="47" xr6:coauthVersionMax="47" xr10:uidLastSave="{00000000-0000-0000-0000-000000000000}"/>
  <bookViews>
    <workbookView xWindow="-110" yWindow="-110" windowWidth="19420" windowHeight="10300" tabRatio="500" xr2:uid="{00000000-000D-0000-FFFF-FFFF00000000}"/>
  </bookViews>
  <sheets>
    <sheet name="Task Brief" sheetId="1" r:id="rId1"/>
    <sheet name="Inventory" sheetId="2" r:id="rId2"/>
    <sheet name="Data Dictionary" sheetId="3" r:id="rId3"/>
    <sheet name="AI Use Log" sheetId="4" r:id="rId4"/>
  </sheets>
  <definedNames>
    <definedName name="_xlnm._FilterDatabase" localSheetId="1" hidden="1">Inventory!$A$1:$N$151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3" i="1" l="1"/>
</calcChain>
</file>

<file path=xl/sharedStrings.xml><?xml version="1.0" encoding="utf-8"?>
<sst xmlns="http://schemas.openxmlformats.org/spreadsheetml/2006/main" count="1159" uniqueCount="553">
  <si>
    <t>T03  Inventory reorder alert tool</t>
  </si>
  <si>
    <t>Mini project | 30 marks | Build something with free LLM tools</t>
  </si>
  <si>
    <t>Task ID</t>
  </si>
  <si>
    <t>T03</t>
  </si>
  <si>
    <t>Task</t>
  </si>
  <si>
    <t>Inventory reorder alert tool</t>
  </si>
  <si>
    <t>Theme</t>
  </si>
  <si>
    <t>No-code apps &amp; dashboards</t>
  </si>
  <si>
    <t>Suggested free tools</t>
  </si>
  <si>
    <t>Gemini Canvas, ChatGPT Canvas or Claude (free) to generate the app; Excel / Google Sheets to verify numbers</t>
  </si>
  <si>
    <t>What students do</t>
  </si>
  <si>
    <t>1. Build an app that computes safety stock, reorder point and EOQ for each SKU (let the LLM explain each formula first).
2. Flag SKUs below reorder point and estimate days of stock left.
3. Verify 10 SKUs manually.
4. Draft a purchase list for the warehouse manager.</t>
  </si>
  <si>
    <t>Deliverables</t>
  </si>
  <si>
    <t>Reorder app; formula explanation; purchase list; AI-use log</t>
  </si>
  <si>
    <t>Dataset in this file</t>
  </si>
  <si>
    <t>150 SKUs with stock, demand, lead time, costs
- 'Inventory' sheet: 150 rows x 14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</si>
  <si>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</si>
  <si>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</si>
  <si>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</si>
  <si>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</si>
  <si>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</si>
  <si>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</si>
  <si>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</si>
  <si>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</si>
  <si>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</si>
  <si>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</si>
  <si>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</si>
  <si>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</si>
  <si>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</si>
  <si>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</si>
  <si>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</si>
  <si>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</si>
  <si>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</si>
  <si>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</si>
  <si>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</si>
  <si>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</si>
  <si>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</si>
  <si>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</si>
  <si>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</si>
  <si>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</si>
  <si>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</si>
  <si>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</si>
  <si>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</si>
  <si>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</si>
  <si>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</si>
  <si>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</si>
  <si>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</si>
  <si>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</si>
  <si>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</si>
  <si>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</si>
  <si>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</si>
  <si>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</si>
  <si>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</si>
  <si>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</si>
  <si>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</si>
  <si>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</si>
  <si>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</si>
  <si>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</si>
  <si>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</si>
  <si>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</si>
  <si>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</si>
  <si>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</si>
  <si>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sku</t>
  </si>
  <si>
    <t>product_name</t>
  </si>
  <si>
    <t>category</t>
  </si>
  <si>
    <t>current_stock_units</t>
  </si>
  <si>
    <t>reorder_level_units</t>
  </si>
  <si>
    <t>avg_daily_demand_units</t>
  </si>
  <si>
    <t>demand_std_dev_units</t>
  </si>
  <si>
    <t>lead_time_days</t>
  </si>
  <si>
    <t>unit_cost_inr</t>
  </si>
  <si>
    <t>supplier</t>
  </si>
  <si>
    <t>order_cost_per_po_inr</t>
  </si>
  <si>
    <t>annual_holding_cost_rate</t>
  </si>
  <si>
    <t>last_restock_date</t>
  </si>
  <si>
    <t>warehouse</t>
  </si>
  <si>
    <t>SKU0001</t>
  </si>
  <si>
    <t>Mixer Grinder - Var 6</t>
  </si>
  <si>
    <t>Home &amp; Kitchen</t>
  </si>
  <si>
    <t>Supplier D</t>
  </si>
  <si>
    <t>2025-12-05</t>
  </si>
  <si>
    <t>Chennai DC</t>
  </si>
  <si>
    <t>SKU0002</t>
  </si>
  <si>
    <t>Non-stick Cookware Set - Var 1</t>
  </si>
  <si>
    <t>Supplier C</t>
  </si>
  <si>
    <t>2026-02-19</t>
  </si>
  <si>
    <t>SKU0003</t>
  </si>
  <si>
    <t>Lipstick - Var 4</t>
  </si>
  <si>
    <t>Beauty</t>
  </si>
  <si>
    <t>2026-03-12</t>
  </si>
  <si>
    <t>SKU0004</t>
  </si>
  <si>
    <t>Denim Jeans - Var 1</t>
  </si>
  <si>
    <t>Fashion</t>
  </si>
  <si>
    <t>2026-02-05</t>
  </si>
  <si>
    <t>Pune DC</t>
  </si>
  <si>
    <t>SKU0005</t>
  </si>
  <si>
    <t>Bluetooth Speaker - Var 8</t>
  </si>
  <si>
    <t>Electronics</t>
  </si>
  <si>
    <t>Supplier A</t>
  </si>
  <si>
    <t>2025-12-09</t>
  </si>
  <si>
    <t>Delhi DC</t>
  </si>
  <si>
    <t>SKU0006</t>
  </si>
  <si>
    <t>Non-stick Cookware Set - Var 8</t>
  </si>
  <si>
    <t>2026-02-16</t>
  </si>
  <si>
    <t>SKU0007</t>
  </si>
  <si>
    <t>Green Tea 100 bags - Var 5</t>
  </si>
  <si>
    <t>Grocery</t>
  </si>
  <si>
    <t>2026-02-18</t>
  </si>
  <si>
    <t>SKU0008</t>
  </si>
  <si>
    <t>Lipstick - Var 6</t>
  </si>
  <si>
    <t>Supplier E</t>
  </si>
  <si>
    <t>2026-01-08</t>
  </si>
  <si>
    <t>SKU0009</t>
  </si>
  <si>
    <t>Wireless Earbuds - Var 7</t>
  </si>
  <si>
    <t>2025-12-22</t>
  </si>
  <si>
    <t>SKU0010</t>
  </si>
  <si>
    <t>Basmati Rice 5kg - Var 7</t>
  </si>
  <si>
    <t>2026-03-10</t>
  </si>
  <si>
    <t>SKU0011</t>
  </si>
  <si>
    <t>Face Serum - Var 3</t>
  </si>
  <si>
    <t>2025-12-17</t>
  </si>
  <si>
    <t>SKU0012</t>
  </si>
  <si>
    <t>Cotton Kurta - Var 4</t>
  </si>
  <si>
    <t>Supplier B</t>
  </si>
  <si>
    <t>2026-02-14</t>
  </si>
  <si>
    <t>SKU0013</t>
  </si>
  <si>
    <t>Non-stick Cookware Set - Var 4</t>
  </si>
  <si>
    <t>SKU0014</t>
  </si>
  <si>
    <t>Steel Water Bottle - Var 6</t>
  </si>
  <si>
    <t>SKU0015</t>
  </si>
  <si>
    <t>Smartwatch - Var 6</t>
  </si>
  <si>
    <t>2026-01-15</t>
  </si>
  <si>
    <t>SKU0016</t>
  </si>
  <si>
    <t>Organic Jaggery 1kg - Var 8</t>
  </si>
  <si>
    <t>2026-01-24</t>
  </si>
  <si>
    <t>SKU0017</t>
  </si>
  <si>
    <t>Face Serum - Var 7</t>
  </si>
  <si>
    <t>2025-12-19</t>
  </si>
  <si>
    <t>SKU0018</t>
  </si>
  <si>
    <t>Sunscreen SPF 50 - Var 4</t>
  </si>
  <si>
    <t>SKU0019</t>
  </si>
  <si>
    <t>2026-01-12</t>
  </si>
  <si>
    <t>SKU0020</t>
  </si>
  <si>
    <t>Steel Water Bottle - Var 8</t>
  </si>
  <si>
    <t>2025-12-31</t>
  </si>
  <si>
    <t>SKU0021</t>
  </si>
  <si>
    <t>Hair Oil - Var 8</t>
  </si>
  <si>
    <t>2026-01-30</t>
  </si>
  <si>
    <t>SKU0022</t>
  </si>
  <si>
    <t>Bluetooth Speaker - Var 7</t>
  </si>
  <si>
    <t>2025-12-25</t>
  </si>
  <si>
    <t>SKU0023</t>
  </si>
  <si>
    <t>Steel Water Bottle - Var 2</t>
  </si>
  <si>
    <t>2026-03-04</t>
  </si>
  <si>
    <t>SKU0024</t>
  </si>
  <si>
    <t>Power Bank 20000mAh - Var 5</t>
  </si>
  <si>
    <t>2026-01-05</t>
  </si>
  <si>
    <t>SKU0025</t>
  </si>
  <si>
    <t>2025-12-03</t>
  </si>
  <si>
    <t>SKU0026</t>
  </si>
  <si>
    <t>2025-12-21</t>
  </si>
  <si>
    <t>SKU0027</t>
  </si>
  <si>
    <t>Green Tea 100 bags - Var 7</t>
  </si>
  <si>
    <t>2026-01-01</t>
  </si>
  <si>
    <t>SKU0028</t>
  </si>
  <si>
    <t>Non-stick Cookware Set - Var 7</t>
  </si>
  <si>
    <t>2025-12-28</t>
  </si>
  <si>
    <t>SKU0029</t>
  </si>
  <si>
    <t>Basmati Rice 5kg - Var 8</t>
  </si>
  <si>
    <t>SKU0030</t>
  </si>
  <si>
    <t>Beard Trimmer - Var 2</t>
  </si>
  <si>
    <t>2026-01-22</t>
  </si>
  <si>
    <t>SKU0031</t>
  </si>
  <si>
    <t>Pressure Cooker 5L - Var 4</t>
  </si>
  <si>
    <t>2026-03-15</t>
  </si>
  <si>
    <t>SKU0032</t>
  </si>
  <si>
    <t>2026-03-18</t>
  </si>
  <si>
    <t>SKU0033</t>
  </si>
  <si>
    <t>Organic Jaggery 1kg - Var 5</t>
  </si>
  <si>
    <t>2026-01-07</t>
  </si>
  <si>
    <t>SKU0034</t>
  </si>
  <si>
    <t>Lipstick - Var 7</t>
  </si>
  <si>
    <t>2026-03-22</t>
  </si>
  <si>
    <t>SKU0035</t>
  </si>
  <si>
    <t>Wireless Earbuds - Var 6</t>
  </si>
  <si>
    <t>2026-01-10</t>
  </si>
  <si>
    <t>SKU0036</t>
  </si>
  <si>
    <t>Air Fryer - Var 8</t>
  </si>
  <si>
    <t>2026-02-13</t>
  </si>
  <si>
    <t>SKU0037</t>
  </si>
  <si>
    <t>Sunscreen SPF 50 - Var 2</t>
  </si>
  <si>
    <t>2026-02-28</t>
  </si>
  <si>
    <t>SKU0038</t>
  </si>
  <si>
    <t>2025-12-02</t>
  </si>
  <si>
    <t>SKU0039</t>
  </si>
  <si>
    <t>Formal Shirt - Var 3</t>
  </si>
  <si>
    <t>SKU0040</t>
  </si>
  <si>
    <t>2026-01-06</t>
  </si>
  <si>
    <t>SKU0041</t>
  </si>
  <si>
    <t>Saree - Var 7</t>
  </si>
  <si>
    <t>SKU0042</t>
  </si>
  <si>
    <t>Smartwatch - Var 1</t>
  </si>
  <si>
    <t>2026-02-07</t>
  </si>
  <si>
    <t>SKU0043</t>
  </si>
  <si>
    <t>Formal Shirt - Var 5</t>
  </si>
  <si>
    <t>2025-12-15</t>
  </si>
  <si>
    <t>SKU0044</t>
  </si>
  <si>
    <t>2026-03-27</t>
  </si>
  <si>
    <t>SKU0045</t>
  </si>
  <si>
    <t>Denim Jeans - Var 6</t>
  </si>
  <si>
    <t>2025-12-14</t>
  </si>
  <si>
    <t>SKU0046</t>
  </si>
  <si>
    <t>2026-01-13</t>
  </si>
  <si>
    <t>SKU0047</t>
  </si>
  <si>
    <t>2026-03-24</t>
  </si>
  <si>
    <t>SKU0048</t>
  </si>
  <si>
    <t>Basmati Rice 5kg - Var 1</t>
  </si>
  <si>
    <t>SKU0049</t>
  </si>
  <si>
    <t>Saree - Var 5</t>
  </si>
  <si>
    <t>2025-12-06</t>
  </si>
  <si>
    <t>SKU0050</t>
  </si>
  <si>
    <t>USB-C Charger 65W - Var 1</t>
  </si>
  <si>
    <t>SKU0051</t>
  </si>
  <si>
    <t>Cold-pressed Oil 1L - Var 7</t>
  </si>
  <si>
    <t>2026-03-28</t>
  </si>
  <si>
    <t>SKU0052</t>
  </si>
  <si>
    <t>Pressure Cooker 5L - Var 6</t>
  </si>
  <si>
    <t>2025-12-24</t>
  </si>
  <si>
    <t>SKU0053</t>
  </si>
  <si>
    <t>USB-C Charger 65W - Var 7</t>
  </si>
  <si>
    <t>SKU0054</t>
  </si>
  <si>
    <t>Sunscreen SPF 50 - Var 8</t>
  </si>
  <si>
    <t>SKU0055</t>
  </si>
  <si>
    <t>USB-C Charger 65W - Var 2</t>
  </si>
  <si>
    <t>SKU0056</t>
  </si>
  <si>
    <t>Wireless Earbuds - Var 2</t>
  </si>
  <si>
    <t>2026-01-26</t>
  </si>
  <si>
    <t>SKU0057</t>
  </si>
  <si>
    <t>Pressure Cooker 5L - Var 1</t>
  </si>
  <si>
    <t>2026-02-08</t>
  </si>
  <si>
    <t>SKU0058</t>
  </si>
  <si>
    <t>Lipstick - Var 1</t>
  </si>
  <si>
    <t>2026-01-04</t>
  </si>
  <si>
    <t>SKU0059</t>
  </si>
  <si>
    <t>2026-03-11</t>
  </si>
  <si>
    <t>SKU0060</t>
  </si>
  <si>
    <t>Organic Jaggery 1kg - Var 7</t>
  </si>
  <si>
    <t>2026-03-14</t>
  </si>
  <si>
    <t>SKU0061</t>
  </si>
  <si>
    <t>2026-02-24</t>
  </si>
  <si>
    <t>SKU0062</t>
  </si>
  <si>
    <t>Lipstick - Var 8</t>
  </si>
  <si>
    <t>SKU0063</t>
  </si>
  <si>
    <t>Steel Water Bottle - Var 7</t>
  </si>
  <si>
    <t>2026-01-31</t>
  </si>
  <si>
    <t>SKU0064</t>
  </si>
  <si>
    <t>Denim Jeans - Var 2</t>
  </si>
  <si>
    <t>SKU0065</t>
  </si>
  <si>
    <t>Dry Fruits Mix 500g - Var 3</t>
  </si>
  <si>
    <t>2026-02-22</t>
  </si>
  <si>
    <t>SKU0066</t>
  </si>
  <si>
    <t>Dry Fruits Mix 500g - Var 4</t>
  </si>
  <si>
    <t>2026-01-20</t>
  </si>
  <si>
    <t>SKU0067</t>
  </si>
  <si>
    <t>Running Shoes - Var 2</t>
  </si>
  <si>
    <t>2026-01-18</t>
  </si>
  <si>
    <t>SKU0068</t>
  </si>
  <si>
    <t>Cotton Kurta - Var 1</t>
  </si>
  <si>
    <t>2026-01-19</t>
  </si>
  <si>
    <t>SKU0069</t>
  </si>
  <si>
    <t>Denim Jeans - Var 7</t>
  </si>
  <si>
    <t>2026-03-05</t>
  </si>
  <si>
    <t>SKU0070</t>
  </si>
  <si>
    <t>Basmati Rice 5kg - Var 3</t>
  </si>
  <si>
    <t>2026-03-13</t>
  </si>
  <si>
    <t>SKU0071</t>
  </si>
  <si>
    <t>Wireless Earbuds - Var 3</t>
  </si>
  <si>
    <t>2026-03-25</t>
  </si>
  <si>
    <t>SKU0072</t>
  </si>
  <si>
    <t>Sunscreen SPF 50 - Var 5</t>
  </si>
  <si>
    <t>2026-02-20</t>
  </si>
  <si>
    <t>SKU0073</t>
  </si>
  <si>
    <t>2026-02-15</t>
  </si>
  <si>
    <t>SKU0074</t>
  </si>
  <si>
    <t>Wireless Earbuds - Var 1</t>
  </si>
  <si>
    <t>2026-01-09</t>
  </si>
  <si>
    <t>SKU0075</t>
  </si>
  <si>
    <t>Sunscreen SPF 50 - Var 1</t>
  </si>
  <si>
    <t>2026-03-30</t>
  </si>
  <si>
    <t>SKU0076</t>
  </si>
  <si>
    <t>Basmati Rice 5kg - Var 5</t>
  </si>
  <si>
    <t>SKU0077</t>
  </si>
  <si>
    <t>Saree - Var 2</t>
  </si>
  <si>
    <t>SKU0078</t>
  </si>
  <si>
    <t>SKU0079</t>
  </si>
  <si>
    <t>Air Fryer - Var 2</t>
  </si>
  <si>
    <t>SKU0080</t>
  </si>
  <si>
    <t>Running Shoes - Var 4</t>
  </si>
  <si>
    <t>SKU0081</t>
  </si>
  <si>
    <t>Denim Jeans - Var 5</t>
  </si>
  <si>
    <t>2025-12-16</t>
  </si>
  <si>
    <t>SKU0082</t>
  </si>
  <si>
    <t>2026-02-23</t>
  </si>
  <si>
    <t>SKU0083</t>
  </si>
  <si>
    <t>SKU0084</t>
  </si>
  <si>
    <t>Pressure Cooker 5L - Var 7</t>
  </si>
  <si>
    <t>SKU0085</t>
  </si>
  <si>
    <t>SKU0086</t>
  </si>
  <si>
    <t>Wireless Earbuds - Var 5</t>
  </si>
  <si>
    <t>2026-01-14</t>
  </si>
  <si>
    <t>SKU0087</t>
  </si>
  <si>
    <t>Denim Jeans - Var 8</t>
  </si>
  <si>
    <t>SKU0088</t>
  </si>
  <si>
    <t>Smartwatch - Var 7</t>
  </si>
  <si>
    <t>SKU0089</t>
  </si>
  <si>
    <t>Steel Water Bottle - Var 3</t>
  </si>
  <si>
    <t>2026-02-10</t>
  </si>
  <si>
    <t>SKU0090</t>
  </si>
  <si>
    <t>2026-03-23</t>
  </si>
  <si>
    <t>SKU0091</t>
  </si>
  <si>
    <t>SKU0092</t>
  </si>
  <si>
    <t>Bluetooth Speaker - Var 2</t>
  </si>
  <si>
    <t>SKU0093</t>
  </si>
  <si>
    <t>Face Serum - Var 2</t>
  </si>
  <si>
    <t>SKU0094</t>
  </si>
  <si>
    <t>Pressure Cooker 5L - Var 8</t>
  </si>
  <si>
    <t>2026-03-02</t>
  </si>
  <si>
    <t>SKU0095</t>
  </si>
  <si>
    <t>Air Fryer - Var 3</t>
  </si>
  <si>
    <t>2026-03-06</t>
  </si>
  <si>
    <t>SKU0096</t>
  </si>
  <si>
    <t>SKU0097</t>
  </si>
  <si>
    <t>2025-12-13</t>
  </si>
  <si>
    <t>SKU0098</t>
  </si>
  <si>
    <t>2026-02-21</t>
  </si>
  <si>
    <t>SKU0099</t>
  </si>
  <si>
    <t>SKU0100</t>
  </si>
  <si>
    <t>USB-C Charger 65W - Var 4</t>
  </si>
  <si>
    <t>SKU0101</t>
  </si>
  <si>
    <t>SKU0102</t>
  </si>
  <si>
    <t>2026-01-28</t>
  </si>
  <si>
    <t>SKU0103</t>
  </si>
  <si>
    <t>Formal Shirt - Var 1</t>
  </si>
  <si>
    <t>2026-03-26</t>
  </si>
  <si>
    <t>SKU0104</t>
  </si>
  <si>
    <t>Lipstick - Var 5</t>
  </si>
  <si>
    <t>SKU0105</t>
  </si>
  <si>
    <t>SKU0106</t>
  </si>
  <si>
    <t>2025-12-27</t>
  </si>
  <si>
    <t>SKU0107</t>
  </si>
  <si>
    <t>Organic Jaggery 1kg - Var 3</t>
  </si>
  <si>
    <t>SKU0108</t>
  </si>
  <si>
    <t>Lipstick - Var 3</t>
  </si>
  <si>
    <t>SKU0109</t>
  </si>
  <si>
    <t>Organic Jaggery 1kg - Var 4</t>
  </si>
  <si>
    <t>2026-03-19</t>
  </si>
  <si>
    <t>SKU0110</t>
  </si>
  <si>
    <t>SKU0111</t>
  </si>
  <si>
    <t>SKU0112</t>
  </si>
  <si>
    <t>SKU0113</t>
  </si>
  <si>
    <t>Mixer Grinder - Var 5</t>
  </si>
  <si>
    <t>SKU0114</t>
  </si>
  <si>
    <t>2025-12-11</t>
  </si>
  <si>
    <t>SKU0115</t>
  </si>
  <si>
    <t>Formal Shirt - Var 6</t>
  </si>
  <si>
    <t>2026-03-08</t>
  </si>
  <si>
    <t>SKU0116</t>
  </si>
  <si>
    <t>Green Tea 100 bags - Var 1</t>
  </si>
  <si>
    <t>SKU0117</t>
  </si>
  <si>
    <t>Cotton Kurta - Var 6</t>
  </si>
  <si>
    <t>SKU0118</t>
  </si>
  <si>
    <t>SKU0119</t>
  </si>
  <si>
    <t>Organic Jaggery 1kg - Var 1</t>
  </si>
  <si>
    <t>SKU0120</t>
  </si>
  <si>
    <t>Dry Fruits Mix 500g - Var 1</t>
  </si>
  <si>
    <t>SKU0121</t>
  </si>
  <si>
    <t>2026-01-03</t>
  </si>
  <si>
    <t>SKU0122</t>
  </si>
  <si>
    <t>Sunscreen SPF 50 - Var 7</t>
  </si>
  <si>
    <t>SKU0123</t>
  </si>
  <si>
    <t>Smartwatch - Var 4</t>
  </si>
  <si>
    <t>SKU0124</t>
  </si>
  <si>
    <t>Wireless Earbuds - Var 4</t>
  </si>
  <si>
    <t>2026-03-03</t>
  </si>
  <si>
    <t>SKU0125</t>
  </si>
  <si>
    <t>Denim Jeans - Var 4</t>
  </si>
  <si>
    <t>2026-03-16</t>
  </si>
  <si>
    <t>SKU0126</t>
  </si>
  <si>
    <t>SKU0127</t>
  </si>
  <si>
    <t>Mixer Grinder - Var 1</t>
  </si>
  <si>
    <t>SKU0128</t>
  </si>
  <si>
    <t>2025-12-23</t>
  </si>
  <si>
    <t>SKU0129</t>
  </si>
  <si>
    <t>SKU0130</t>
  </si>
  <si>
    <t>SKU0131</t>
  </si>
  <si>
    <t>Power Bank 20000mAh - Var 8</t>
  </si>
  <si>
    <t>SKU0132</t>
  </si>
  <si>
    <t>Lipstick - Var 2</t>
  </si>
  <si>
    <t>SKU0133</t>
  </si>
  <si>
    <t>Smartwatch - Var 3</t>
  </si>
  <si>
    <t>2026-02-06</t>
  </si>
  <si>
    <t>SKU0134</t>
  </si>
  <si>
    <t>Beard Trimmer - Var 8</t>
  </si>
  <si>
    <t>2026-02-04</t>
  </si>
  <si>
    <t>SKU0135</t>
  </si>
  <si>
    <t>Bluetooth Speaker - Var 5</t>
  </si>
  <si>
    <t>SKU0136</t>
  </si>
  <si>
    <t>Cotton Kurta - Var 7</t>
  </si>
  <si>
    <t>2025-12-07</t>
  </si>
  <si>
    <t>SKU0137</t>
  </si>
  <si>
    <t>Cotton Kurta - Var 3</t>
  </si>
  <si>
    <t>SKU0138</t>
  </si>
  <si>
    <t>Formal Shirt - Var 4</t>
  </si>
  <si>
    <t>SKU0139</t>
  </si>
  <si>
    <t>Dry Fruits Mix 500g - Var 6</t>
  </si>
  <si>
    <t>SKU0140</t>
  </si>
  <si>
    <t>Beard Trimmer - Var 3</t>
  </si>
  <si>
    <t>SKU0141</t>
  </si>
  <si>
    <t>Running Shoes - Var 5</t>
  </si>
  <si>
    <t>2026-03-29</t>
  </si>
  <si>
    <t>SKU0142</t>
  </si>
  <si>
    <t>SKU0143</t>
  </si>
  <si>
    <t>SKU0144</t>
  </si>
  <si>
    <t>2025-12-18</t>
  </si>
  <si>
    <t>SKU0145</t>
  </si>
  <si>
    <t>SKU0146</t>
  </si>
  <si>
    <t>2026-03-09</t>
  </si>
  <si>
    <t>SKU0147</t>
  </si>
  <si>
    <t>Power Bank 20000mAh - Var 1</t>
  </si>
  <si>
    <t>SKU0148</t>
  </si>
  <si>
    <t>Mixer Grinder - Var 2</t>
  </si>
  <si>
    <t>SKU0149</t>
  </si>
  <si>
    <t>Hair Oil - Var 1</t>
  </si>
  <si>
    <t>SKU0150</t>
  </si>
  <si>
    <t>Cold-pressed Oil 1L - Var 1</t>
  </si>
  <si>
    <t>sheet</t>
  </si>
  <si>
    <t>column</t>
  </si>
  <si>
    <t>data_type</t>
  </si>
  <si>
    <t>example_value</t>
  </si>
  <si>
    <t>non_empty_values</t>
  </si>
  <si>
    <t>distinct_values</t>
  </si>
  <si>
    <t>Inventory</t>
  </si>
  <si>
    <t>Text</t>
  </si>
  <si>
    <t>Whole number</t>
  </si>
  <si>
    <t>280</t>
  </si>
  <si>
    <t>245</t>
  </si>
  <si>
    <t>Decimal number</t>
  </si>
  <si>
    <t>9.1</t>
  </si>
  <si>
    <t>4.0</t>
  </si>
  <si>
    <t>26</t>
  </si>
  <si>
    <t>1625</t>
  </si>
  <si>
    <t>2000</t>
  </si>
  <si>
    <t>0.23</t>
  </si>
  <si>
    <t>AI Use Log - fill one row per prompt (minimum 15). Yellow cells are for you to fill; row 4 is an example.</t>
  </si>
  <si>
    <t>Evidence = shared chat link or screenshot file name. Keep rejected outputs too - they earn marks under 'Prompting and iteration'.</t>
  </si>
  <si>
    <t>#</t>
  </si>
  <si>
    <t>date</t>
  </si>
  <si>
    <t>tool</t>
  </si>
  <si>
    <t>model / mode</t>
  </si>
  <si>
    <t>settings used (if any)</t>
  </si>
  <si>
    <t>prompt (exact text)</t>
  </si>
  <si>
    <t>what the output did well / badly</t>
  </si>
  <si>
    <t>what I changed next and why</t>
  </si>
  <si>
    <t>kept or rejected</t>
  </si>
  <si>
    <t>evidence link / file</t>
  </si>
  <si>
    <t>Gemini (free)</t>
  </si>
  <si>
    <t>Gemini app, default</t>
  </si>
  <si>
    <t>-</t>
  </si>
  <si>
    <t>You are a business analyst. Using the attached sheet for 'Inventory reorder alert tool', list the first 3 steps to build it and what could go wrong.</t>
  </si>
  <si>
    <t>Clear steps, but assumed a column that does not exist</t>
  </si>
  <si>
    <t>Told it the exact column names and asked it to recheck</t>
  </si>
  <si>
    <t>Rejected</t>
  </si>
  <si>
    <t>screenshot_01.png</t>
  </si>
  <si>
    <t>I have uploaded an Inventory Excel dataset in which only fields are present. Explain what each column means in simple terms and how the columns are related.</t>
  </si>
  <si>
    <t>From this dataset, identify which columns are required for calculating safety stock, reorder point, EOQ and days of stock left.</t>
  </si>
  <si>
    <t>Explain the Safety Stock formula used for inventory management, including what every variable means.</t>
  </si>
  <si>
    <t>Explain what the Z value means in the safety stock formula and give a simple service-level table for common Z values.</t>
  </si>
  <si>
    <t>Explain why the safety stock formula uses the square root of lead time instead of simply multiplying demand variability by lead time.</t>
  </si>
  <si>
    <t>Explain the Reorder Point formula step by step and give a simple numerical example.</t>
  </si>
  <si>
    <t>Explain the EOQ formula, what each variable means, and why EOQ is useful for inventory management.</t>
  </si>
  <si>
    <t>Explain how Days of Stock Left should be calculated and what it tells a warehouse manager.</t>
  </si>
  <si>
    <t>Explain how the system should decide whether an SKU needs to be reordered. Explain how I can calculate the required order quantity when the current stock falls below the reorder point. Review the inventory calculation assumptions I should clearly mention in my project, including service level, demand period, lead time and ordering costs. Based on the field of the excel sheet, suggest the calculated columns I should add to the Inventory sheet and explain what each one will calculate.</t>
  </si>
  <si>
    <t>show me the Excel formulas I should use for Annual Demand, Safety Stock, Reorder Point, Holding Cost, EOQ, Days of Stock Left and Required Order Quantity.</t>
  </si>
  <si>
    <t>Review my inventory calculation logic and identify any formulas, assumptions or calculations that could be incorrect or misleading.</t>
  </si>
  <si>
    <t>I need to create a dashboard for this inventory reorder project. Suggest the most useful KPIs, filters and tables for a warehouse manager.</t>
  </si>
  <si>
    <t>create a dummy dashboard showing total SKUs, reorder alerts, total required order quantity and total purchase value.</t>
  </si>
  <si>
    <t>Add a Category filter to the dashboard so that all dashboard KPIs and tables change according to the selected category.</t>
  </si>
  <si>
    <t>Add a Data Warehouse filter according to warehouse/place, and make sure the dashboard updates according to the selected warehouse</t>
  </si>
  <si>
    <t>Add a Required Quantity column to the dashboard showing automatically how many units need to be ordered for each SKU.</t>
  </si>
  <si>
    <t>Make the four main dashboard KPI values dynamic so they change automatically whenever I apply Category, Warehouse or Status filters.</t>
  </si>
  <si>
    <t>Add a highlighted section called “Need to Urgently Order” showing the top 5 most urgent reorder requirements based on the lowest Days of Stock Left.</t>
  </si>
  <si>
    <t>Review the dashboard design and suggest improvements to make it professional, easy to understand and useful for a warehouse manager.</t>
  </si>
  <si>
    <t>Perform a complete quality check of my inventory reorder project. Check the formulas, calculations, dashboard filters, required quantities, urgent top 5 section and consistency with the original dataset.</t>
  </si>
  <si>
    <t>Clearly explained the meaning of the dataset fields and how they are connected. It helped me understand the structure of the inventory data.</t>
  </si>
  <si>
    <t>Correctly identified the main fields needed for Safety Stock, Reorder Point, EOQ and Days of Stock Left. The explanation was easy to follow.</t>
  </si>
  <si>
    <t>Clearly explained the Safety Stock formula and the purpose of each variable. The formula was useful for building the calculation logic.</t>
  </si>
  <si>
    <t>Explained the Z value and its relationship with service level clearly. The service-level examples made the concept easier to understand.</t>
  </si>
  <si>
    <t>Explained why the square root of lead time is used in the formula. The explanation helped me understand the logic rather than just memorizing the formula.</t>
  </si>
  <si>
    <t>Explained the Reorder Point calculation step by step and included a simple example. This made the formula easier to apply to my dataset.</t>
  </si>
  <si>
    <t>Clearly explained EOQ, its variables and its purpose. The explanation helped me understand why EOQ is useful for deciding order quantities.</t>
  </si>
  <si>
    <t>Clearly explained how Days of Stock Left is calculated and why it is important for a warehouse manager. The example made it easy to understand.</t>
  </si>
  <si>
    <t>Clearly explained the reorder decision and required order quantity. It also helped identify the assumptions and calculated columns needed for the project.</t>
  </si>
  <si>
    <t>Provided the required Excel formulas for the main inventory calculations. The formulas were useful, although I needed to check the cell references against my actual Excel sheet.</t>
  </si>
  <si>
    <t>Identified possible issues in the calculation logic and assumptions. The review helped me check whether the formulas and assumptions were reasonable.</t>
  </si>
  <si>
    <t>Suggested useful KPIs, filters and tables for a warehouse dashboard. The suggestions were relevant to a warehouse manager.</t>
  </si>
  <si>
    <t>Created a basic dashboard structure with the four main KPIs. It provided a good starting point, but the dummy dashboard needed further customization.</t>
  </si>
  <si>
    <t>Added the Category filter and explained that the dashboard should respond to the selected category. This made the dashboard more useful for analysis.</t>
  </si>
  <si>
    <t>Added the Data Warehouse filter so the dashboard could be viewed by warehouse/place. The filter improved the practical usefulness of the dashboard.</t>
  </si>
  <si>
    <t>Added the Required Quantity column and explained that it should calculate the number of units to order automatically. This was useful for creating the purchase list.</t>
  </si>
  <si>
    <t>Made the four main KPI values dynamic based on the selected filters. This improved the dashboard because the summary values changed with the analysis.</t>
  </si>
  <si>
    <t>Added the highlighted “Need to Urgently Order” section with the top 5 urgent items based on Days of Stock Left. This made urgent purchasing decisions easier.</t>
  </si>
  <si>
    <t>Suggested improvements to make the dashboard cleaner and more professional. The recommendations helped improve readability and usefulness for a warehouse manager.</t>
  </si>
  <si>
    <t>Performed a complete review of the formulas, calculations and dashboard features. It helped identify areas that needed checking before final submission.</t>
  </si>
  <si>
    <t>I checked the actual Excel fields and corrected the approach so that the calculations only use columns available in my dataset.</t>
  </si>
  <si>
    <t>I used the column explanations to understand the dataset structure and identify the inputs required for the inventory calculations.</t>
  </si>
  <si>
    <t>I used these identified fields to plan the calculation columns for Safety Stock, Reorder Point, EOQ and Days of Stock Left.</t>
  </si>
  <si>
    <t>I used the Safety Stock formula as the basis for my inventory calculation and noted the meaning of each variable.</t>
  </si>
  <si>
    <t>I selected a 95% service-level assumption with Z = 1.65 because the dataset did not specify a service level.</t>
  </si>
  <si>
    <t>I used the square-root lead-time logic in my Safety Stock calculation instead of directly multiplying demand variability by lead time.</t>
  </si>
  <si>
    <t>I applied the Reorder Point formula to my dataset and checked the calculation using sample SKU values.</t>
  </si>
  <si>
    <t>I added EOQ calculation to determine an appropriate order quantity for each SKU.</t>
  </si>
  <si>
    <t>I added Days of Stock Left so I could identify which products may run out sooner.</t>
  </si>
  <si>
    <t>I combined the reorder condition and required quantity logic and added the necessary calculated columns to the Inventory sheet.</t>
  </si>
  <si>
    <t>I entered and checked the Excel formulas against my actual dataset columns and corrected any cell-reference issues.</t>
  </si>
  <si>
    <t>I reviewed the calculation logic and adjusted the assumptions and formulas where necessary before building the dashboard.</t>
  </si>
  <si>
    <t>I selected the main KPIs, filters and tables that would be most useful for a warehouse manager.</t>
  </si>
  <si>
    <t>I used the dummy dashboard as the starting structure and then customized it using my actual inventory dataset.</t>
  </si>
  <si>
    <t>I added the Category filter so the dashboard could be analyzed by different product categories.</t>
  </si>
  <si>
    <t>I added the Data Warehouse filter so the dashboard could be viewed separately for each warehouse/place.</t>
  </si>
  <si>
    <t>I added the Required Quantity column so the warehouse manager could directly see how many units should be ordered.</t>
  </si>
  <si>
    <t>I made the four main KPI values dynamic so they update whenever Category, Warehouse or Status filters are changed.</t>
  </si>
  <si>
    <t>I added the highlighted “Need to Urgently Order” section and used Days of Stock Left to identify the five most urgent SKUs.</t>
  </si>
  <si>
    <t>Kept</t>
  </si>
  <si>
    <t>I improved the dashboard layout and presentation to make the information clearer and more professional for a warehouse manager. I performed a final quality check and verified the formulas, filters, required quantities, urgent-order section and consistency with the original dataset before submission.</t>
  </si>
  <si>
    <t>screenshot_02.png</t>
  </si>
  <si>
    <t>screenshot_03.png</t>
  </si>
  <si>
    <t>screenshot_04.png</t>
  </si>
  <si>
    <t>screenshot_05.png</t>
  </si>
  <si>
    <t>screenshot_06.png</t>
  </si>
  <si>
    <t>screenshot_07.png</t>
  </si>
  <si>
    <t>screenshot_08.png</t>
  </si>
  <si>
    <t>screenshot_09.png</t>
  </si>
  <si>
    <t>screenshot_10.png</t>
  </si>
  <si>
    <t>screenshot_11.png</t>
  </si>
  <si>
    <t>screenshot_12.png</t>
  </si>
  <si>
    <t>screenshot_13.png</t>
  </si>
  <si>
    <t>screenshot_14.png</t>
  </si>
  <si>
    <t>screenshot_15.png</t>
  </si>
  <si>
    <t>screenshot_16.png</t>
  </si>
  <si>
    <t>screenshot_17.png</t>
  </si>
  <si>
    <t>screenshot_18.png</t>
  </si>
  <si>
    <t>screenshot_19.png</t>
  </si>
  <si>
    <t>screenshot_20.png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</si>
</sst>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10" x14ac:knownFonts="1">
    <font>
      <sz val="10"/>
      <name val="Arial"/>
      <charset val="1"/>
    </font>
    <font>
      <b/>
      <sz val="14"/>
      <color rgb="FF1F4E5A"/>
      <name val="Arial"/>
      <charset val="1"/>
    </font>
    <font>
      <i/>
      <sz val="10"/>
      <color rgb="FF555555"/>
      <name val="Arial"/>
      <charset val="1"/>
    </font>
    <font>
      <b/>
      <sz val="10"/>
      <name val="Arial"/>
      <charset val="1"/>
    </font>
    <font>
      <b/>
      <sz val="12"/>
      <color rgb="FF1F4E5A"/>
      <name val="Arial"/>
      <charset val="1"/>
    </font>
    <font>
      <b/>
      <sz val="10"/>
      <color rgb="FFFFFFFF"/>
      <name val="Arial"/>
      <charset val="1"/>
    </font>
    <font>
      <sz val="11"/>
      <color theme="1"/>
      <name val="Calibri"/>
      <family val="2"/>
      <charset val="1"/>
    </font>
    <font>
      <i/>
      <sz val="9"/>
      <color rgb="FF555555"/>
      <name val="Arial"/>
      <charset val="1"/>
    </font>
    <font>
      <i/>
      <sz val="10"/>
      <color rgb="FF666666"/>
      <name val="Arial"/>
      <charset val="1"/>
    </font>
    <font>
      <u/>
      <sz val="10"/>
      <color theme="10"/>
      <name val="Arial"/>
      <charset val="1"/>
    </font>
  </fonts>
  <fills count="5">
    <fill>
      <patternFill patternType="none"/>
    </fill>
    <fill>
      <patternFill patternType="gray125"/>
    </fill>
    <fill>
      <patternFill patternType="solid">
        <fgColor rgb="FFE8F1F2"/>
        <bgColor rgb="FFFFFFFF"/>
      </patternFill>
    </fill>
    <fill>
      <patternFill patternType="solid">
        <fgColor rgb="FF1F4E5A"/>
        <bgColor rgb="FF003366"/>
      </patternFill>
    </fill>
    <fill>
      <patternFill patternType="solid">
        <fgColor rgb="FFFFF2CC"/>
        <bgColor rgb="FFE8F1F2"/>
      </patternFill>
    </fill>
  </fills>
  <borders count="2">
    <border>
      <left/>
      <right/>
      <top/>
      <bottom/>
      <diagonal/>
    </border>
    <border>
      <left style="thin">
        <color rgb="FFC9D3D6"/>
      </left>
      <right style="thin">
        <color rgb="FFC9D3D6"/>
      </right>
      <top style="thin">
        <color rgb="FFC9D3D6"/>
      </top>
      <bottom style="thin">
        <color rgb="FFC9D3D6"/>
      </bottom>
      <diagonal/>
    </border>
  </borders>
  <cellStyleXfs count="2">
    <xf numFmtId="0" fontId="0" fillId="0" borderId="0"/>
    <xf numFmtId="0" fontId="9" fillId="0" borderId="0" applyNumberFormat="0" applyFill="0" applyBorder="0" applyAlignment="0" applyProtection="0"/>
  </cellStyleXfs>
  <cellXfs count="17">
    <xf numFmtId="0" fontId="0" fillId="0" borderId="0" xfId="0"/>
    <xf numFmtId="0" fontId="1" fillId="0" borderId="0" xfId="0" applyFont="1"/>
    <xf numFmtId="0" fontId="2" fillId="0" borderId="0" xfId="0" applyFont="1"/>
    <xf numFmtId="0" fontId="3" fillId="2" borderId="1" xfId="0" applyFont="1" applyFill="1" applyBorder="1" applyAlignment="1">
      <alignment vertical="top" wrapText="1"/>
    </xf>
    <xf numFmtId="0" fontId="0" fillId="0" borderId="1" xfId="0" applyBorder="1" applyAlignment="1">
      <alignment vertical="top" wrapText="1"/>
    </xf>
    <xf numFmtId="0" fontId="4" fillId="0" borderId="0" xfId="0" applyFont="1"/>
    <xf numFmtId="0" fontId="5" fillId="3" borderId="1" xfId="0" applyFont="1" applyFill="1" applyBorder="1" applyAlignment="1">
      <alignment vertical="center" wrapText="1"/>
    </xf>
    <xf numFmtId="0" fontId="6" fillId="0" borderId="1" xfId="0" applyFont="1" applyBorder="1" applyAlignment="1">
      <alignment vertical="top" wrapText="1"/>
    </xf>
    <xf numFmtId="0" fontId="3" fillId="0" borderId="0" xfId="0" applyFont="1"/>
    <xf numFmtId="3" fontId="6" fillId="0" borderId="0" xfId="0" applyNumberFormat="1" applyFont="1"/>
    <xf numFmtId="164" fontId="6" fillId="0" borderId="0" xfId="0" applyNumberFormat="1" applyFont="1"/>
    <xf numFmtId="0" fontId="7" fillId="0" borderId="0" xfId="0" applyFont="1"/>
    <xf numFmtId="0" fontId="8" fillId="0" borderId="1" xfId="0" applyFont="1" applyBorder="1" applyAlignment="1">
      <alignment vertical="top" wrapText="1"/>
    </xf>
    <xf numFmtId="165" fontId="8" fillId="0" borderId="1" xfId="0" applyNumberFormat="1" applyFont="1" applyBorder="1" applyAlignment="1">
      <alignment vertical="top" wrapText="1"/>
    </xf>
    <xf numFmtId="165" fontId="6" fillId="4" borderId="1" xfId="0" applyNumberFormat="1" applyFont="1" applyFill="1" applyBorder="1" applyAlignment="1">
      <alignment vertical="top" wrapText="1"/>
    </xf>
    <xf numFmtId="0" fontId="6" fillId="4" borderId="1" xfId="0" applyFont="1" applyFill="1" applyBorder="1" applyAlignment="1">
      <alignment vertical="top" wrapText="1"/>
    </xf>
    <xf numFmtId="0" fontId="9" fillId="4" borderId="1" xfId="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8F1F2"/>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1F4E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s://drive.google.com/file/d/1hYZ3oC8H2YjcUsWVorb5eWxsT2OIQuwN/view?usp=drive_link" TargetMode="External"/><Relationship Id="rId13" Type="http://schemas.openxmlformats.org/officeDocument/2006/relationships/hyperlink" Target="https://drive.google.com/file/d/1lJiQL8u0I2TXASTVBkdg6fZ2p6KANLdu/view?usp=drive_link" TargetMode="External"/><Relationship Id="rId18" Type="http://schemas.openxmlformats.org/officeDocument/2006/relationships/hyperlink" Target="https://drive.google.com/file/d/1PP1g1aK76wt9zk1I9UcvP_bAsq0ckaVa/view?usp=drive_link" TargetMode="External"/><Relationship Id="rId3" Type="http://schemas.openxmlformats.org/officeDocument/2006/relationships/hyperlink" Target="https://drive.google.com/file/d/1RxNJsfWgWEqrxFX8UJmjY2z0Xgpc98So/view?usp=drive_link" TargetMode="External"/><Relationship Id="rId7" Type="http://schemas.openxmlformats.org/officeDocument/2006/relationships/hyperlink" Target="https://drive.google.com/file/d/1_DaAQvjzq3toxwTo7sdWZ_f9BbGsQDf1/view?usp=drive_link" TargetMode="External"/><Relationship Id="rId12" Type="http://schemas.openxmlformats.org/officeDocument/2006/relationships/hyperlink" Target="https://drive.google.com/file/d/1_C_iGZBWRvXHNJWLDrwksWgTN34FelL5/view?usp=drive_link" TargetMode="External"/><Relationship Id="rId17" Type="http://schemas.openxmlformats.org/officeDocument/2006/relationships/hyperlink" Target="https://drive.google.com/file/d/1fa-vRpuOW738sztep3zYgBqCMxSmsYgB/view?usp=drive_link" TargetMode="External"/><Relationship Id="rId2" Type="http://schemas.openxmlformats.org/officeDocument/2006/relationships/hyperlink" Target="https://drive.google.com/file/d/1wm8NnWLNC-uBQLbOdwN-CkZbFuZFPhU3/view?usp=drive_link" TargetMode="External"/><Relationship Id="rId16" Type="http://schemas.openxmlformats.org/officeDocument/2006/relationships/hyperlink" Target="https://drive.google.com/file/d/1W2OEIEHI9p8T5bRsls7Saa0KpN0fQJCH/view?usp=drive_link" TargetMode="External"/><Relationship Id="rId20" Type="http://schemas.openxmlformats.org/officeDocument/2006/relationships/hyperlink" Target="https://drive.google.com/file/d/14_Djgeoe_DKfTQLoxIFX5WzsBlK_pW5I/view?usp=drive_link" TargetMode="External"/><Relationship Id="rId1" Type="http://schemas.openxmlformats.org/officeDocument/2006/relationships/hyperlink" Target="https://drive.google.com/file/d/1-OzJg6QlQVdwRwQnf0rWu3XNmqK7qVQr/view?usp=drive_link" TargetMode="External"/><Relationship Id="rId6" Type="http://schemas.openxmlformats.org/officeDocument/2006/relationships/hyperlink" Target="https://drive.google.com/file/d/1XakP7MggnS8s4KiSU4-TK3AHZY_57lQV/view?usp=drive_link" TargetMode="External"/><Relationship Id="rId11" Type="http://schemas.openxmlformats.org/officeDocument/2006/relationships/hyperlink" Target="https://drive.google.com/file/d/1liM8H706EE_nIG79gVpAI1B-LQTRXjvv/view?usp=drive_link" TargetMode="External"/><Relationship Id="rId5" Type="http://schemas.openxmlformats.org/officeDocument/2006/relationships/hyperlink" Target="https://drive.google.com/file/d/1BHdgpaufqvm0u0SzwO4e9lO05EWUYGzE/view?usp=drive_link" TargetMode="External"/><Relationship Id="rId15" Type="http://schemas.openxmlformats.org/officeDocument/2006/relationships/hyperlink" Target="https://drive.google.com/file/d/1m6klhZbUSNtr4hxzXMQ_2DHH1I1zdBem/view?usp=drive_link" TargetMode="External"/><Relationship Id="rId10" Type="http://schemas.openxmlformats.org/officeDocument/2006/relationships/hyperlink" Target="https://drive.google.com/file/d/15kKXk-6BSZ27h3r-kWFXG4WpHf9eeWgF/view?usp=drive_link" TargetMode="External"/><Relationship Id="rId19" Type="http://schemas.openxmlformats.org/officeDocument/2006/relationships/hyperlink" Target="https://drive.google.com/file/d/1Phb4ZVoFYs84AJMWw9kZGAuXaSgo8t1S/view?usp=drive_link" TargetMode="External"/><Relationship Id="rId4" Type="http://schemas.openxmlformats.org/officeDocument/2006/relationships/hyperlink" Target="https://drive.google.com/file/d/1710ezCF9KnPghs3baaOibHBUf2VtJ2PO/view?usp=drive_link" TargetMode="External"/><Relationship Id="rId9" Type="http://schemas.openxmlformats.org/officeDocument/2006/relationships/hyperlink" Target="https://drive.google.com/file/d/15JfUIALYBHv-xmUTeXvISrSg0CwLnVYw/view?usp=drive_link" TargetMode="External"/><Relationship Id="rId14" Type="http://schemas.openxmlformats.org/officeDocument/2006/relationships/hyperlink" Target="https://drive.google.com/file/d/1_InSFNoujLN_Z8Im65W9RKUsETXMv4X2/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tabSelected="1" zoomScaleNormal="100" workbookViewId="0"/>
  </sheetViews>
  <sheetFormatPr defaultColWidth="8.6328125" defaultRowHeight="12.5" x14ac:dyDescent="0.25"/>
  <cols>
    <col min="1" max="1" width="26" customWidth="1"/>
    <col min="2" max="2" width="95" customWidth="1"/>
    <col min="3" max="3" width="10" customWidth="1"/>
    <col min="4" max="4" width="22" customWidth="1"/>
    <col min="5" max="6" width="20" customWidth="1"/>
    <col min="7" max="7" width="16" customWidth="1"/>
  </cols>
  <sheetData>
    <row r="1" spans="1:2" ht="18" x14ac:dyDescent="0.4">
      <c r="A1" s="1" t="s">
        <v>0</v>
      </c>
    </row>
    <row r="2" spans="1:2" ht="13" x14ac:dyDescent="0.3">
      <c r="A2" s="2" t="s">
        <v>1</v>
      </c>
    </row>
    <row r="4" spans="1:2" ht="18" customHeight="1" x14ac:dyDescent="0.25">
      <c r="A4" s="3" t="s">
        <v>2</v>
      </c>
      <c r="B4" s="4" t="s">
        <v>3</v>
      </c>
    </row>
    <row r="5" spans="1:2" ht="18" customHeight="1" x14ac:dyDescent="0.25">
      <c r="A5" s="3" t="s">
        <v>4</v>
      </c>
      <c r="B5" s="4" t="s">
        <v>5</v>
      </c>
    </row>
    <row r="6" spans="1:2" ht="18" customHeight="1" x14ac:dyDescent="0.25">
      <c r="A6" s="3" t="s">
        <v>6</v>
      </c>
      <c r="B6" s="4" t="s">
        <v>7</v>
      </c>
    </row>
    <row r="7" spans="1:2" ht="27.75" customHeight="1" x14ac:dyDescent="0.25">
      <c r="A7" s="3" t="s">
        <v>8</v>
      </c>
      <c r="B7" s="4" t="s">
        <v>9</v>
      </c>
    </row>
    <row r="8" spans="1:2" ht="69.75" customHeight="1" x14ac:dyDescent="0.25">
      <c r="A8" s="3" t="s">
        <v>10</v>
      </c>
      <c r="B8" s="4" t="s">
        <v>11</v>
      </c>
    </row>
    <row r="9" spans="1:2" ht="18" customHeight="1" x14ac:dyDescent="0.25">
      <c r="A9" s="3" t="s">
        <v>12</v>
      </c>
      <c r="B9" s="4" t="s">
        <v>13</v>
      </c>
    </row>
    <row r="10" spans="1:2" ht="27.75" customHeight="1" x14ac:dyDescent="0.25">
      <c r="A10" s="3" t="s">
        <v>14</v>
      </c>
      <c r="B10" s="4" t="s">
        <v>15</v>
      </c>
    </row>
    <row r="11" spans="1:2" ht="42" customHeight="1" x14ac:dyDescent="0.25">
      <c r="A11" s="3" t="s">
        <v>16</v>
      </c>
      <c r="B11" s="4" t="s">
        <v>17</v>
      </c>
    </row>
    <row r="12" spans="1:2" ht="18" customHeight="1" x14ac:dyDescent="0.25">
      <c r="A12" s="3" t="s">
        <v>18</v>
      </c>
      <c r="B12" s="4" t="s">
        <v>19</v>
      </c>
    </row>
    <row r="13" spans="1:2" ht="27.75" customHeight="1" x14ac:dyDescent="0.25">
      <c r="A13" s="3" t="s">
        <v>20</v>
      </c>
      <c r="B13" s="4" t="s">
        <v>21</v>
      </c>
    </row>
    <row r="14" spans="1:2" ht="42" customHeight="1" x14ac:dyDescent="0.25">
      <c r="A14" s="3" t="s">
        <v>22</v>
      </c>
      <c r="B14" s="4" t="s">
        <v>23</v>
      </c>
    </row>
    <row r="16" spans="1:2" ht="15.5" x14ac:dyDescent="0.35">
      <c r="A16" s="5" t="s">
        <v>24</v>
      </c>
    </row>
    <row r="17" spans="1:7" ht="13" x14ac:dyDescent="0.25">
      <c r="A17" s="6" t="s">
        <v>25</v>
      </c>
      <c r="B17" s="6" t="s">
        <v>26</v>
      </c>
      <c r="C17" s="6" t="s">
        <v>27</v>
      </c>
      <c r="D17" s="6" t="s">
        <v>28</v>
      </c>
      <c r="E17" s="6" t="s">
        <v>29</v>
      </c>
      <c r="F17" s="6" t="s">
        <v>30</v>
      </c>
      <c r="G17" s="6" t="s">
        <v>31</v>
      </c>
    </row>
    <row r="18" spans="1:7" ht="42" customHeight="1" x14ac:dyDescent="0.25">
      <c r="A18" s="7" t="s">
        <v>32</v>
      </c>
      <c r="B18" s="7" t="s">
        <v>33</v>
      </c>
      <c r="C18" s="7">
        <v>8</v>
      </c>
      <c r="D18" s="7" t="s">
        <v>34</v>
      </c>
      <c r="E18" s="7" t="s">
        <v>35</v>
      </c>
      <c r="F18" s="7" t="s">
        <v>36</v>
      </c>
      <c r="G18" s="7" t="s">
        <v>37</v>
      </c>
    </row>
    <row r="19" spans="1:7" ht="42" customHeight="1" x14ac:dyDescent="0.25">
      <c r="A19" s="7" t="s">
        <v>38</v>
      </c>
      <c r="B19" s="7" t="s">
        <v>39</v>
      </c>
      <c r="C19" s="7">
        <v>7</v>
      </c>
      <c r="D19" s="7" t="s">
        <v>40</v>
      </c>
      <c r="E19" s="7" t="s">
        <v>41</v>
      </c>
      <c r="F19" s="7" t="s">
        <v>42</v>
      </c>
      <c r="G19" s="7" t="s">
        <v>43</v>
      </c>
    </row>
    <row r="20" spans="1:7" ht="42" customHeight="1" x14ac:dyDescent="0.25">
      <c r="A20" s="7" t="s">
        <v>44</v>
      </c>
      <c r="B20" s="7" t="s">
        <v>45</v>
      </c>
      <c r="C20" s="7">
        <v>5</v>
      </c>
      <c r="D20" s="7" t="s">
        <v>46</v>
      </c>
      <c r="E20" s="7" t="s">
        <v>47</v>
      </c>
      <c r="F20" s="7" t="s">
        <v>48</v>
      </c>
      <c r="G20" s="7" t="s">
        <v>49</v>
      </c>
    </row>
    <row r="21" spans="1:7" ht="42" customHeight="1" x14ac:dyDescent="0.25">
      <c r="A21" s="7" t="s">
        <v>50</v>
      </c>
      <c r="B21" s="7" t="s">
        <v>51</v>
      </c>
      <c r="C21" s="7">
        <v>6</v>
      </c>
      <c r="D21" s="7" t="s">
        <v>52</v>
      </c>
      <c r="E21" s="7" t="s">
        <v>53</v>
      </c>
      <c r="F21" s="7" t="s">
        <v>54</v>
      </c>
      <c r="G21" s="7" t="s">
        <v>55</v>
      </c>
    </row>
    <row r="22" spans="1:7" ht="42" customHeight="1" x14ac:dyDescent="0.25">
      <c r="A22" s="7" t="s">
        <v>56</v>
      </c>
      <c r="B22" s="7" t="s">
        <v>57</v>
      </c>
      <c r="C22" s="7">
        <v>4</v>
      </c>
      <c r="D22" s="7" t="s">
        <v>58</v>
      </c>
      <c r="E22" s="7" t="s">
        <v>59</v>
      </c>
      <c r="F22" s="7" t="s">
        <v>60</v>
      </c>
      <c r="G22" s="7" t="s">
        <v>55</v>
      </c>
    </row>
    <row r="23" spans="1:7" ht="13" x14ac:dyDescent="0.3">
      <c r="A23" s="8" t="s">
        <v>61</v>
      </c>
      <c r="C23" s="8">
        <f>SUM(C18:C22)</f>
        <v>30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51"/>
  <sheetViews>
    <sheetView zoomScaleNormal="100" workbookViewId="0">
      <pane ySplit="1" topLeftCell="A2" activePane="bottomLeft" state="frozen"/>
      <selection pane="bottomLeft"/>
    </sheetView>
  </sheetViews>
  <sheetFormatPr defaultColWidth="8.6328125" defaultRowHeight="12.5" x14ac:dyDescent="0.25"/>
  <cols>
    <col min="1" max="1" width="10" customWidth="1"/>
    <col min="2" max="2" width="24" customWidth="1"/>
    <col min="3" max="3" width="10" customWidth="1"/>
    <col min="4" max="5" width="21" customWidth="1"/>
    <col min="6" max="6" width="24" customWidth="1"/>
    <col min="7" max="7" width="22" customWidth="1"/>
    <col min="8" max="8" width="16" customWidth="1"/>
    <col min="9" max="9" width="15" customWidth="1"/>
    <col min="10" max="10" width="12" customWidth="1"/>
    <col min="11" max="11" width="23" customWidth="1"/>
    <col min="12" max="12" width="26" customWidth="1"/>
    <col min="13" max="13" width="19" customWidth="1"/>
    <col min="14" max="14" width="11" customWidth="1"/>
  </cols>
  <sheetData>
    <row r="1" spans="1:14" ht="13" x14ac:dyDescent="0.25">
      <c r="A1" s="6" t="s">
        <v>62</v>
      </c>
      <c r="B1" s="6" t="s">
        <v>63</v>
      </c>
      <c r="C1" s="6" t="s">
        <v>64</v>
      </c>
      <c r="D1" s="6" t="s">
        <v>65</v>
      </c>
      <c r="E1" s="6" t="s">
        <v>66</v>
      </c>
      <c r="F1" s="6" t="s">
        <v>67</v>
      </c>
      <c r="G1" s="6" t="s">
        <v>68</v>
      </c>
      <c r="H1" s="6" t="s">
        <v>69</v>
      </c>
      <c r="I1" s="6" t="s">
        <v>70</v>
      </c>
      <c r="J1" s="6" t="s">
        <v>71</v>
      </c>
      <c r="K1" s="6" t="s">
        <v>72</v>
      </c>
      <c r="L1" s="6" t="s">
        <v>73</v>
      </c>
      <c r="M1" s="6" t="s">
        <v>74</v>
      </c>
      <c r="N1" s="6" t="s">
        <v>75</v>
      </c>
    </row>
    <row r="2" spans="1:14" ht="14.5" x14ac:dyDescent="0.35">
      <c r="A2" t="s">
        <v>76</v>
      </c>
      <c r="B2" t="s">
        <v>77</v>
      </c>
      <c r="C2" t="s">
        <v>78</v>
      </c>
      <c r="D2">
        <v>280</v>
      </c>
      <c r="E2">
        <v>245</v>
      </c>
      <c r="F2">
        <v>9.1</v>
      </c>
      <c r="G2">
        <v>4</v>
      </c>
      <c r="H2">
        <v>26</v>
      </c>
      <c r="I2" s="9">
        <v>1625</v>
      </c>
      <c r="J2" t="s">
        <v>79</v>
      </c>
      <c r="K2" s="9">
        <v>2000</v>
      </c>
      <c r="L2" s="10">
        <v>0.23</v>
      </c>
      <c r="M2" t="s">
        <v>80</v>
      </c>
      <c r="N2" t="s">
        <v>81</v>
      </c>
    </row>
    <row r="3" spans="1:14" ht="14.5" x14ac:dyDescent="0.35">
      <c r="A3" t="s">
        <v>82</v>
      </c>
      <c r="B3" t="s">
        <v>83</v>
      </c>
      <c r="C3" t="s">
        <v>78</v>
      </c>
      <c r="D3">
        <v>68</v>
      </c>
      <c r="E3">
        <v>25</v>
      </c>
      <c r="F3">
        <v>3.6</v>
      </c>
      <c r="G3">
        <v>1.5</v>
      </c>
      <c r="H3">
        <v>6</v>
      </c>
      <c r="I3" s="9">
        <v>866</v>
      </c>
      <c r="J3" t="s">
        <v>84</v>
      </c>
      <c r="K3" s="9">
        <v>3000</v>
      </c>
      <c r="L3" s="10">
        <v>0.19</v>
      </c>
      <c r="M3" t="s">
        <v>85</v>
      </c>
      <c r="N3" t="s">
        <v>81</v>
      </c>
    </row>
    <row r="4" spans="1:14" ht="14.5" x14ac:dyDescent="0.35">
      <c r="A4" t="s">
        <v>86</v>
      </c>
      <c r="B4" t="s">
        <v>87</v>
      </c>
      <c r="C4" t="s">
        <v>88</v>
      </c>
      <c r="D4">
        <v>40</v>
      </c>
      <c r="E4">
        <v>9</v>
      </c>
      <c r="F4">
        <v>1.1000000000000001</v>
      </c>
      <c r="G4">
        <v>0.6</v>
      </c>
      <c r="H4">
        <v>10</v>
      </c>
      <c r="I4" s="9">
        <v>160</v>
      </c>
      <c r="J4" t="s">
        <v>84</v>
      </c>
      <c r="K4" s="9">
        <v>1500</v>
      </c>
      <c r="L4" s="10">
        <v>0.2</v>
      </c>
      <c r="M4" t="s">
        <v>89</v>
      </c>
      <c r="N4" t="s">
        <v>81</v>
      </c>
    </row>
    <row r="5" spans="1:14" ht="14.5" x14ac:dyDescent="0.35">
      <c r="A5" t="s">
        <v>90</v>
      </c>
      <c r="B5" t="s">
        <v>91</v>
      </c>
      <c r="C5" t="s">
        <v>92</v>
      </c>
      <c r="D5">
        <v>355</v>
      </c>
      <c r="E5">
        <v>187</v>
      </c>
      <c r="F5">
        <v>15.5</v>
      </c>
      <c r="G5">
        <v>7.5</v>
      </c>
      <c r="H5">
        <v>13</v>
      </c>
      <c r="I5" s="9">
        <v>528</v>
      </c>
      <c r="J5" t="s">
        <v>84</v>
      </c>
      <c r="K5" s="9">
        <v>2500</v>
      </c>
      <c r="L5" s="10">
        <v>0.2</v>
      </c>
      <c r="M5" t="s">
        <v>93</v>
      </c>
      <c r="N5" t="s">
        <v>94</v>
      </c>
    </row>
    <row r="6" spans="1:14" ht="14.5" x14ac:dyDescent="0.35">
      <c r="A6" t="s">
        <v>95</v>
      </c>
      <c r="B6" t="s">
        <v>96</v>
      </c>
      <c r="C6" t="s">
        <v>97</v>
      </c>
      <c r="D6">
        <v>506</v>
      </c>
      <c r="E6">
        <v>735</v>
      </c>
      <c r="F6">
        <v>19.100000000000001</v>
      </c>
      <c r="G6">
        <v>11.1</v>
      </c>
      <c r="H6">
        <v>29</v>
      </c>
      <c r="I6" s="9">
        <v>767</v>
      </c>
      <c r="J6" t="s">
        <v>98</v>
      </c>
      <c r="K6" s="9">
        <v>1500</v>
      </c>
      <c r="L6" s="10">
        <v>0.2</v>
      </c>
      <c r="M6" t="s">
        <v>99</v>
      </c>
      <c r="N6" t="s">
        <v>100</v>
      </c>
    </row>
    <row r="7" spans="1:14" ht="14.5" x14ac:dyDescent="0.35">
      <c r="A7" t="s">
        <v>101</v>
      </c>
      <c r="B7" t="s">
        <v>102</v>
      </c>
      <c r="C7" t="s">
        <v>78</v>
      </c>
      <c r="D7">
        <v>18</v>
      </c>
      <c r="E7">
        <v>681</v>
      </c>
      <c r="F7">
        <v>23</v>
      </c>
      <c r="G7">
        <v>7.8</v>
      </c>
      <c r="H7">
        <v>20</v>
      </c>
      <c r="I7" s="9">
        <v>1044</v>
      </c>
      <c r="J7" t="s">
        <v>84</v>
      </c>
      <c r="K7" s="9">
        <v>2000</v>
      </c>
      <c r="L7" s="10">
        <v>0.23</v>
      </c>
      <c r="M7" t="s">
        <v>103</v>
      </c>
      <c r="N7" t="s">
        <v>100</v>
      </c>
    </row>
    <row r="8" spans="1:14" ht="14.5" x14ac:dyDescent="0.35">
      <c r="A8" t="s">
        <v>104</v>
      </c>
      <c r="B8" t="s">
        <v>105</v>
      </c>
      <c r="C8" t="s">
        <v>106</v>
      </c>
      <c r="D8">
        <v>442</v>
      </c>
      <c r="E8">
        <v>105</v>
      </c>
      <c r="F8">
        <v>7</v>
      </c>
      <c r="G8">
        <v>2.2999999999999998</v>
      </c>
      <c r="H8">
        <v>14</v>
      </c>
      <c r="I8" s="9">
        <v>132</v>
      </c>
      <c r="J8" t="s">
        <v>98</v>
      </c>
      <c r="K8" s="9">
        <v>3000</v>
      </c>
      <c r="L8" s="10">
        <v>0.18</v>
      </c>
      <c r="M8" t="s">
        <v>107</v>
      </c>
      <c r="N8" t="s">
        <v>100</v>
      </c>
    </row>
    <row r="9" spans="1:14" ht="14.5" x14ac:dyDescent="0.35">
      <c r="A9" t="s">
        <v>108</v>
      </c>
      <c r="B9" t="s">
        <v>109</v>
      </c>
      <c r="C9" t="s">
        <v>88</v>
      </c>
      <c r="D9">
        <v>279</v>
      </c>
      <c r="E9">
        <v>105</v>
      </c>
      <c r="F9">
        <v>6.5</v>
      </c>
      <c r="G9">
        <v>3.2</v>
      </c>
      <c r="H9">
        <v>12</v>
      </c>
      <c r="I9" s="9">
        <v>140</v>
      </c>
      <c r="J9" t="s">
        <v>110</v>
      </c>
      <c r="K9" s="9">
        <v>1500</v>
      </c>
      <c r="L9" s="10">
        <v>0.18</v>
      </c>
      <c r="M9" t="s">
        <v>111</v>
      </c>
      <c r="N9" t="s">
        <v>81</v>
      </c>
    </row>
    <row r="10" spans="1:14" ht="14.5" x14ac:dyDescent="0.35">
      <c r="A10" t="s">
        <v>112</v>
      </c>
      <c r="B10" t="s">
        <v>113</v>
      </c>
      <c r="C10" t="s">
        <v>97</v>
      </c>
      <c r="D10">
        <v>59</v>
      </c>
      <c r="E10">
        <v>295</v>
      </c>
      <c r="F10">
        <v>11.6</v>
      </c>
      <c r="G10">
        <v>5.7</v>
      </c>
      <c r="H10">
        <v>20</v>
      </c>
      <c r="I10" s="9">
        <v>809</v>
      </c>
      <c r="J10" t="s">
        <v>84</v>
      </c>
      <c r="K10" s="9">
        <v>2500</v>
      </c>
      <c r="L10" s="10">
        <v>0.24</v>
      </c>
      <c r="M10" t="s">
        <v>114</v>
      </c>
      <c r="N10" t="s">
        <v>100</v>
      </c>
    </row>
    <row r="11" spans="1:14" ht="14.5" x14ac:dyDescent="0.35">
      <c r="A11" t="s">
        <v>115</v>
      </c>
      <c r="B11" t="s">
        <v>116</v>
      </c>
      <c r="C11" t="s">
        <v>106</v>
      </c>
      <c r="D11">
        <v>514</v>
      </c>
      <c r="E11">
        <v>102</v>
      </c>
      <c r="F11">
        <v>11.5</v>
      </c>
      <c r="G11">
        <v>3.8</v>
      </c>
      <c r="H11">
        <v>6</v>
      </c>
      <c r="I11" s="9">
        <v>295</v>
      </c>
      <c r="J11" t="s">
        <v>79</v>
      </c>
      <c r="K11" s="9">
        <v>3000</v>
      </c>
      <c r="L11" s="10">
        <v>0.24</v>
      </c>
      <c r="M11" t="s">
        <v>117</v>
      </c>
      <c r="N11" t="s">
        <v>100</v>
      </c>
    </row>
    <row r="12" spans="1:14" ht="14.5" x14ac:dyDescent="0.35">
      <c r="A12" t="s">
        <v>118</v>
      </c>
      <c r="B12" t="s">
        <v>119</v>
      </c>
      <c r="C12" t="s">
        <v>88</v>
      </c>
      <c r="D12">
        <v>396</v>
      </c>
      <c r="E12">
        <v>316</v>
      </c>
      <c r="F12">
        <v>15.9</v>
      </c>
      <c r="G12">
        <v>9.1999999999999993</v>
      </c>
      <c r="H12">
        <v>24</v>
      </c>
      <c r="I12" s="9">
        <v>270</v>
      </c>
      <c r="J12" t="s">
        <v>84</v>
      </c>
      <c r="K12" s="9">
        <v>2000</v>
      </c>
      <c r="L12" s="10">
        <v>0.19</v>
      </c>
      <c r="M12" t="s">
        <v>120</v>
      </c>
      <c r="N12" t="s">
        <v>100</v>
      </c>
    </row>
    <row r="13" spans="1:14" ht="14.5" x14ac:dyDescent="0.35">
      <c r="A13" t="s">
        <v>121</v>
      </c>
      <c r="B13" t="s">
        <v>122</v>
      </c>
      <c r="C13" t="s">
        <v>92</v>
      </c>
      <c r="D13">
        <v>517</v>
      </c>
      <c r="E13">
        <v>57</v>
      </c>
      <c r="F13">
        <v>5</v>
      </c>
      <c r="G13">
        <v>1.5</v>
      </c>
      <c r="H13">
        <v>9</v>
      </c>
      <c r="I13" s="9">
        <v>315</v>
      </c>
      <c r="J13" t="s">
        <v>123</v>
      </c>
      <c r="K13" s="9">
        <v>2000</v>
      </c>
      <c r="L13" s="10">
        <v>0.2</v>
      </c>
      <c r="M13" t="s">
        <v>124</v>
      </c>
      <c r="N13" t="s">
        <v>94</v>
      </c>
    </row>
    <row r="14" spans="1:14" ht="14.5" x14ac:dyDescent="0.35">
      <c r="A14" t="s">
        <v>125</v>
      </c>
      <c r="B14" t="s">
        <v>126</v>
      </c>
      <c r="C14" t="s">
        <v>78</v>
      </c>
      <c r="D14">
        <v>384</v>
      </c>
      <c r="E14">
        <v>260</v>
      </c>
      <c r="F14">
        <v>18.2</v>
      </c>
      <c r="G14">
        <v>5.4</v>
      </c>
      <c r="H14">
        <v>10</v>
      </c>
      <c r="I14" s="9">
        <v>823</v>
      </c>
      <c r="J14" t="s">
        <v>84</v>
      </c>
      <c r="K14" s="9">
        <v>3000</v>
      </c>
      <c r="L14" s="10">
        <v>0.2</v>
      </c>
      <c r="M14" t="s">
        <v>99</v>
      </c>
      <c r="N14" t="s">
        <v>81</v>
      </c>
    </row>
    <row r="15" spans="1:14" ht="14.5" x14ac:dyDescent="0.35">
      <c r="A15" t="s">
        <v>127</v>
      </c>
      <c r="B15" t="s">
        <v>128</v>
      </c>
      <c r="C15" t="s">
        <v>78</v>
      </c>
      <c r="D15">
        <v>85</v>
      </c>
      <c r="E15">
        <v>237</v>
      </c>
      <c r="F15">
        <v>16.7</v>
      </c>
      <c r="G15">
        <v>4.8</v>
      </c>
      <c r="H15">
        <v>15</v>
      </c>
      <c r="I15" s="9">
        <v>194</v>
      </c>
      <c r="J15" t="s">
        <v>84</v>
      </c>
      <c r="K15" s="9">
        <v>2000</v>
      </c>
      <c r="L15" s="10">
        <v>0.18</v>
      </c>
      <c r="M15" t="s">
        <v>99</v>
      </c>
      <c r="N15" t="s">
        <v>100</v>
      </c>
    </row>
    <row r="16" spans="1:14" ht="14.5" x14ac:dyDescent="0.35">
      <c r="A16" t="s">
        <v>129</v>
      </c>
      <c r="B16" t="s">
        <v>130</v>
      </c>
      <c r="C16" t="s">
        <v>97</v>
      </c>
      <c r="D16">
        <v>564</v>
      </c>
      <c r="E16">
        <v>242</v>
      </c>
      <c r="F16">
        <v>7.4</v>
      </c>
      <c r="G16">
        <v>1.6</v>
      </c>
      <c r="H16">
        <v>23</v>
      </c>
      <c r="I16" s="9">
        <v>1584</v>
      </c>
      <c r="J16" t="s">
        <v>84</v>
      </c>
      <c r="K16" s="9">
        <v>2500</v>
      </c>
      <c r="L16" s="10">
        <v>0.21</v>
      </c>
      <c r="M16" t="s">
        <v>131</v>
      </c>
      <c r="N16" t="s">
        <v>100</v>
      </c>
    </row>
    <row r="17" spans="1:14" ht="14.5" x14ac:dyDescent="0.35">
      <c r="A17" t="s">
        <v>132</v>
      </c>
      <c r="B17" t="s">
        <v>133</v>
      </c>
      <c r="C17" t="s">
        <v>106</v>
      </c>
      <c r="D17">
        <v>355</v>
      </c>
      <c r="E17">
        <v>143</v>
      </c>
      <c r="F17">
        <v>11</v>
      </c>
      <c r="G17">
        <v>4.5</v>
      </c>
      <c r="H17">
        <v>15</v>
      </c>
      <c r="I17" s="9">
        <v>55</v>
      </c>
      <c r="J17" t="s">
        <v>110</v>
      </c>
      <c r="K17" s="9">
        <v>3000</v>
      </c>
      <c r="L17" s="10">
        <v>0.25</v>
      </c>
      <c r="M17" t="s">
        <v>134</v>
      </c>
      <c r="N17" t="s">
        <v>94</v>
      </c>
    </row>
    <row r="18" spans="1:14" ht="14.5" x14ac:dyDescent="0.35">
      <c r="A18" t="s">
        <v>135</v>
      </c>
      <c r="B18" t="s">
        <v>136</v>
      </c>
      <c r="C18" t="s">
        <v>88</v>
      </c>
      <c r="D18">
        <v>510</v>
      </c>
      <c r="E18">
        <v>85</v>
      </c>
      <c r="F18">
        <v>3.8</v>
      </c>
      <c r="G18">
        <v>0.9</v>
      </c>
      <c r="H18">
        <v>25</v>
      </c>
      <c r="I18" s="9">
        <v>240</v>
      </c>
      <c r="J18" t="s">
        <v>84</v>
      </c>
      <c r="K18" s="9">
        <v>2000</v>
      </c>
      <c r="L18" s="10">
        <v>0.23</v>
      </c>
      <c r="M18" t="s">
        <v>137</v>
      </c>
      <c r="N18" t="s">
        <v>94</v>
      </c>
    </row>
    <row r="19" spans="1:14" ht="14.5" x14ac:dyDescent="0.35">
      <c r="A19" t="s">
        <v>138</v>
      </c>
      <c r="B19" t="s">
        <v>139</v>
      </c>
      <c r="C19" t="s">
        <v>88</v>
      </c>
      <c r="D19">
        <v>88</v>
      </c>
      <c r="E19">
        <v>355</v>
      </c>
      <c r="F19">
        <v>21.7</v>
      </c>
      <c r="G19">
        <v>7.3</v>
      </c>
      <c r="H19">
        <v>13</v>
      </c>
      <c r="I19" s="9">
        <v>197</v>
      </c>
      <c r="J19" t="s">
        <v>84</v>
      </c>
      <c r="K19" s="9">
        <v>2000</v>
      </c>
      <c r="L19" s="10">
        <v>0.19</v>
      </c>
      <c r="M19" t="s">
        <v>124</v>
      </c>
      <c r="N19" t="s">
        <v>100</v>
      </c>
    </row>
    <row r="20" spans="1:14" ht="14.5" x14ac:dyDescent="0.35">
      <c r="A20" t="s">
        <v>140</v>
      </c>
      <c r="B20" t="s">
        <v>91</v>
      </c>
      <c r="C20" t="s">
        <v>92</v>
      </c>
      <c r="D20">
        <v>319</v>
      </c>
      <c r="E20">
        <v>46</v>
      </c>
      <c r="F20">
        <v>1.4</v>
      </c>
      <c r="G20">
        <v>0.3</v>
      </c>
      <c r="H20">
        <v>26</v>
      </c>
      <c r="I20" s="9">
        <v>605</v>
      </c>
      <c r="J20" t="s">
        <v>84</v>
      </c>
      <c r="K20" s="9">
        <v>3000</v>
      </c>
      <c r="L20" s="10">
        <v>0.23</v>
      </c>
      <c r="M20" t="s">
        <v>141</v>
      </c>
      <c r="N20" t="s">
        <v>94</v>
      </c>
    </row>
    <row r="21" spans="1:14" ht="14.5" x14ac:dyDescent="0.35">
      <c r="A21" t="s">
        <v>142</v>
      </c>
      <c r="B21" t="s">
        <v>143</v>
      </c>
      <c r="C21" t="s">
        <v>78</v>
      </c>
      <c r="D21">
        <v>500</v>
      </c>
      <c r="E21">
        <v>274</v>
      </c>
      <c r="F21">
        <v>15.7</v>
      </c>
      <c r="G21">
        <v>4.2</v>
      </c>
      <c r="H21">
        <v>16</v>
      </c>
      <c r="I21" s="9">
        <v>197</v>
      </c>
      <c r="J21" t="s">
        <v>79</v>
      </c>
      <c r="K21" s="9">
        <v>2500</v>
      </c>
      <c r="L21" s="10">
        <v>0.24</v>
      </c>
      <c r="M21" t="s">
        <v>144</v>
      </c>
      <c r="N21" t="s">
        <v>100</v>
      </c>
    </row>
    <row r="22" spans="1:14" ht="14.5" x14ac:dyDescent="0.35">
      <c r="A22" t="s">
        <v>145</v>
      </c>
      <c r="B22" t="s">
        <v>146</v>
      </c>
      <c r="C22" t="s">
        <v>88</v>
      </c>
      <c r="D22">
        <v>157</v>
      </c>
      <c r="E22">
        <v>169</v>
      </c>
      <c r="F22">
        <v>14.2</v>
      </c>
      <c r="G22">
        <v>6.6</v>
      </c>
      <c r="H22">
        <v>9</v>
      </c>
      <c r="I22" s="9">
        <v>84</v>
      </c>
      <c r="J22" t="s">
        <v>98</v>
      </c>
      <c r="K22" s="9">
        <v>2000</v>
      </c>
      <c r="L22" s="10">
        <v>0.18</v>
      </c>
      <c r="M22" t="s">
        <v>147</v>
      </c>
      <c r="N22" t="s">
        <v>100</v>
      </c>
    </row>
    <row r="23" spans="1:14" ht="14.5" x14ac:dyDescent="0.35">
      <c r="A23" t="s">
        <v>148</v>
      </c>
      <c r="B23" t="s">
        <v>149</v>
      </c>
      <c r="C23" t="s">
        <v>97</v>
      </c>
      <c r="D23">
        <v>215</v>
      </c>
      <c r="E23">
        <v>448</v>
      </c>
      <c r="F23">
        <v>12.9</v>
      </c>
      <c r="G23">
        <v>2.6</v>
      </c>
      <c r="H23">
        <v>27</v>
      </c>
      <c r="I23" s="9">
        <v>733</v>
      </c>
      <c r="J23" t="s">
        <v>84</v>
      </c>
      <c r="K23" s="9">
        <v>2500</v>
      </c>
      <c r="L23" s="10">
        <v>0.21</v>
      </c>
      <c r="M23" t="s">
        <v>150</v>
      </c>
      <c r="N23" t="s">
        <v>94</v>
      </c>
    </row>
    <row r="24" spans="1:14" ht="14.5" x14ac:dyDescent="0.35">
      <c r="A24" t="s">
        <v>151</v>
      </c>
      <c r="B24" t="s">
        <v>152</v>
      </c>
      <c r="C24" t="s">
        <v>78</v>
      </c>
      <c r="D24">
        <v>2</v>
      </c>
      <c r="E24">
        <v>169</v>
      </c>
      <c r="F24">
        <v>14.4</v>
      </c>
      <c r="G24">
        <v>7.4</v>
      </c>
      <c r="H24">
        <v>10</v>
      </c>
      <c r="I24" s="9">
        <v>154</v>
      </c>
      <c r="J24" t="s">
        <v>84</v>
      </c>
      <c r="K24" s="9">
        <v>2000</v>
      </c>
      <c r="L24" s="10">
        <v>0.18</v>
      </c>
      <c r="M24" t="s">
        <v>153</v>
      </c>
      <c r="N24" t="s">
        <v>81</v>
      </c>
    </row>
    <row r="25" spans="1:14" ht="14.5" x14ac:dyDescent="0.35">
      <c r="A25" t="s">
        <v>154</v>
      </c>
      <c r="B25" t="s">
        <v>155</v>
      </c>
      <c r="C25" t="s">
        <v>97</v>
      </c>
      <c r="D25">
        <v>590</v>
      </c>
      <c r="E25">
        <v>81</v>
      </c>
      <c r="F25">
        <v>2.4</v>
      </c>
      <c r="G25">
        <v>0.9</v>
      </c>
      <c r="H25">
        <v>28</v>
      </c>
      <c r="I25" s="9">
        <v>686</v>
      </c>
      <c r="J25" t="s">
        <v>84</v>
      </c>
      <c r="K25" s="9">
        <v>1500</v>
      </c>
      <c r="L25" s="10">
        <v>0.22</v>
      </c>
      <c r="M25" t="s">
        <v>156</v>
      </c>
      <c r="N25" t="s">
        <v>94</v>
      </c>
    </row>
    <row r="26" spans="1:14" ht="14.5" x14ac:dyDescent="0.35">
      <c r="A26" t="s">
        <v>157</v>
      </c>
      <c r="B26" t="s">
        <v>139</v>
      </c>
      <c r="C26" t="s">
        <v>88</v>
      </c>
      <c r="D26">
        <v>113</v>
      </c>
      <c r="E26">
        <v>139</v>
      </c>
      <c r="F26">
        <v>13.3</v>
      </c>
      <c r="G26">
        <v>3.5</v>
      </c>
      <c r="H26">
        <v>10</v>
      </c>
      <c r="I26" s="9">
        <v>163</v>
      </c>
      <c r="J26" t="s">
        <v>84</v>
      </c>
      <c r="K26" s="9">
        <v>3000</v>
      </c>
      <c r="L26" s="10">
        <v>0.2</v>
      </c>
      <c r="M26" t="s">
        <v>158</v>
      </c>
      <c r="N26" t="s">
        <v>100</v>
      </c>
    </row>
    <row r="27" spans="1:14" ht="14.5" x14ac:dyDescent="0.35">
      <c r="A27" t="s">
        <v>159</v>
      </c>
      <c r="B27" t="s">
        <v>136</v>
      </c>
      <c r="C27" t="s">
        <v>88</v>
      </c>
      <c r="D27">
        <v>145</v>
      </c>
      <c r="E27">
        <v>185</v>
      </c>
      <c r="F27">
        <v>6.8</v>
      </c>
      <c r="G27">
        <v>3.8</v>
      </c>
      <c r="H27">
        <v>22</v>
      </c>
      <c r="I27" s="9">
        <v>207</v>
      </c>
      <c r="J27" t="s">
        <v>79</v>
      </c>
      <c r="K27" s="9">
        <v>3000</v>
      </c>
      <c r="L27" s="10">
        <v>0.19</v>
      </c>
      <c r="M27" t="s">
        <v>160</v>
      </c>
      <c r="N27" t="s">
        <v>100</v>
      </c>
    </row>
    <row r="28" spans="1:14" ht="14.5" x14ac:dyDescent="0.35">
      <c r="A28" t="s">
        <v>161</v>
      </c>
      <c r="B28" t="s">
        <v>162</v>
      </c>
      <c r="C28" t="s">
        <v>106</v>
      </c>
      <c r="D28">
        <v>563</v>
      </c>
      <c r="E28">
        <v>299</v>
      </c>
      <c r="F28">
        <v>13.1</v>
      </c>
      <c r="G28">
        <v>4.4000000000000004</v>
      </c>
      <c r="H28">
        <v>25</v>
      </c>
      <c r="I28" s="9">
        <v>123</v>
      </c>
      <c r="J28" t="s">
        <v>84</v>
      </c>
      <c r="K28" s="9">
        <v>2500</v>
      </c>
      <c r="L28" s="10">
        <v>0.19</v>
      </c>
      <c r="M28" t="s">
        <v>163</v>
      </c>
      <c r="N28" t="s">
        <v>81</v>
      </c>
    </row>
    <row r="29" spans="1:14" ht="14.5" x14ac:dyDescent="0.35">
      <c r="A29" t="s">
        <v>164</v>
      </c>
      <c r="B29" t="s">
        <v>165</v>
      </c>
      <c r="C29" t="s">
        <v>78</v>
      </c>
      <c r="D29">
        <v>446</v>
      </c>
      <c r="E29">
        <v>233</v>
      </c>
      <c r="F29">
        <v>13.9</v>
      </c>
      <c r="G29">
        <v>5.8</v>
      </c>
      <c r="H29">
        <v>17</v>
      </c>
      <c r="I29" s="9">
        <v>816</v>
      </c>
      <c r="J29" t="s">
        <v>84</v>
      </c>
      <c r="K29" s="9">
        <v>2500</v>
      </c>
      <c r="L29" s="10">
        <v>0.25</v>
      </c>
      <c r="M29" t="s">
        <v>166</v>
      </c>
      <c r="N29" t="s">
        <v>81</v>
      </c>
    </row>
    <row r="30" spans="1:14" ht="14.5" x14ac:dyDescent="0.35">
      <c r="A30" t="s">
        <v>167</v>
      </c>
      <c r="B30" t="s">
        <v>168</v>
      </c>
      <c r="C30" t="s">
        <v>106</v>
      </c>
      <c r="D30">
        <v>527</v>
      </c>
      <c r="E30">
        <v>659</v>
      </c>
      <c r="F30">
        <v>28.8</v>
      </c>
      <c r="G30">
        <v>8.8000000000000007</v>
      </c>
      <c r="H30">
        <v>27</v>
      </c>
      <c r="I30" s="9">
        <v>278</v>
      </c>
      <c r="J30" t="s">
        <v>79</v>
      </c>
      <c r="K30" s="9">
        <v>1500</v>
      </c>
      <c r="L30" s="10">
        <v>0.18</v>
      </c>
      <c r="M30" t="s">
        <v>120</v>
      </c>
      <c r="N30" t="s">
        <v>100</v>
      </c>
    </row>
    <row r="31" spans="1:14" ht="14.5" x14ac:dyDescent="0.35">
      <c r="A31" t="s">
        <v>169</v>
      </c>
      <c r="B31" t="s">
        <v>170</v>
      </c>
      <c r="C31" t="s">
        <v>88</v>
      </c>
      <c r="D31">
        <v>491</v>
      </c>
      <c r="E31">
        <v>28</v>
      </c>
      <c r="F31">
        <v>4.2</v>
      </c>
      <c r="G31">
        <v>2</v>
      </c>
      <c r="H31">
        <v>6</v>
      </c>
      <c r="I31" s="9">
        <v>569</v>
      </c>
      <c r="J31" t="s">
        <v>123</v>
      </c>
      <c r="K31" s="9">
        <v>2500</v>
      </c>
      <c r="L31" s="10">
        <v>0.19</v>
      </c>
      <c r="M31" t="s">
        <v>171</v>
      </c>
      <c r="N31" t="s">
        <v>81</v>
      </c>
    </row>
    <row r="32" spans="1:14" ht="14.5" x14ac:dyDescent="0.35">
      <c r="A32" t="s">
        <v>172</v>
      </c>
      <c r="B32" t="s">
        <v>173</v>
      </c>
      <c r="C32" t="s">
        <v>78</v>
      </c>
      <c r="D32">
        <v>488</v>
      </c>
      <c r="E32">
        <v>64</v>
      </c>
      <c r="F32">
        <v>6.1</v>
      </c>
      <c r="G32">
        <v>2.2999999999999998</v>
      </c>
      <c r="H32">
        <v>8</v>
      </c>
      <c r="I32" s="9">
        <v>896</v>
      </c>
      <c r="J32" t="s">
        <v>110</v>
      </c>
      <c r="K32" s="9">
        <v>2000</v>
      </c>
      <c r="L32" s="10">
        <v>0.24</v>
      </c>
      <c r="M32" t="s">
        <v>174</v>
      </c>
      <c r="N32" t="s">
        <v>94</v>
      </c>
    </row>
    <row r="33" spans="1:14" ht="14.5" x14ac:dyDescent="0.35">
      <c r="A33" t="s">
        <v>175</v>
      </c>
      <c r="B33" t="s">
        <v>162</v>
      </c>
      <c r="C33" t="s">
        <v>106</v>
      </c>
      <c r="D33">
        <v>69</v>
      </c>
      <c r="E33">
        <v>357</v>
      </c>
      <c r="F33">
        <v>11.3</v>
      </c>
      <c r="G33">
        <v>4.2</v>
      </c>
      <c r="H33">
        <v>27</v>
      </c>
      <c r="I33" s="9">
        <v>123</v>
      </c>
      <c r="J33" t="s">
        <v>98</v>
      </c>
      <c r="K33" s="9">
        <v>3000</v>
      </c>
      <c r="L33" s="10">
        <v>0.21</v>
      </c>
      <c r="M33" t="s">
        <v>176</v>
      </c>
      <c r="N33" t="s">
        <v>81</v>
      </c>
    </row>
    <row r="34" spans="1:14" ht="14.5" x14ac:dyDescent="0.35">
      <c r="A34" t="s">
        <v>177</v>
      </c>
      <c r="B34" t="s">
        <v>178</v>
      </c>
      <c r="C34" t="s">
        <v>106</v>
      </c>
      <c r="D34">
        <v>403</v>
      </c>
      <c r="E34">
        <v>82</v>
      </c>
      <c r="F34">
        <v>8.6999999999999993</v>
      </c>
      <c r="G34">
        <v>1.8</v>
      </c>
      <c r="H34">
        <v>7</v>
      </c>
      <c r="I34" s="9">
        <v>56</v>
      </c>
      <c r="J34" t="s">
        <v>123</v>
      </c>
      <c r="K34" s="9">
        <v>3000</v>
      </c>
      <c r="L34" s="10">
        <v>0.23</v>
      </c>
      <c r="M34" t="s">
        <v>179</v>
      </c>
      <c r="N34" t="s">
        <v>94</v>
      </c>
    </row>
    <row r="35" spans="1:14" ht="14.5" x14ac:dyDescent="0.35">
      <c r="A35" t="s">
        <v>180</v>
      </c>
      <c r="B35" t="s">
        <v>181</v>
      </c>
      <c r="C35" t="s">
        <v>88</v>
      </c>
      <c r="D35">
        <v>569</v>
      </c>
      <c r="E35">
        <v>164</v>
      </c>
      <c r="F35">
        <v>10</v>
      </c>
      <c r="G35">
        <v>4.9000000000000004</v>
      </c>
      <c r="H35">
        <v>14</v>
      </c>
      <c r="I35" s="9">
        <v>151</v>
      </c>
      <c r="J35" t="s">
        <v>79</v>
      </c>
      <c r="K35" s="9">
        <v>1500</v>
      </c>
      <c r="L35" s="10">
        <v>0.23</v>
      </c>
      <c r="M35" t="s">
        <v>182</v>
      </c>
      <c r="N35" t="s">
        <v>81</v>
      </c>
    </row>
    <row r="36" spans="1:14" ht="14.5" x14ac:dyDescent="0.35">
      <c r="A36" t="s">
        <v>183</v>
      </c>
      <c r="B36" t="s">
        <v>184</v>
      </c>
      <c r="C36" t="s">
        <v>97</v>
      </c>
      <c r="D36">
        <v>133</v>
      </c>
      <c r="E36">
        <v>272</v>
      </c>
      <c r="F36">
        <v>9.6999999999999993</v>
      </c>
      <c r="G36">
        <v>4.3</v>
      </c>
      <c r="H36">
        <v>27</v>
      </c>
      <c r="I36" s="9">
        <v>1021</v>
      </c>
      <c r="J36" t="s">
        <v>79</v>
      </c>
      <c r="K36" s="9">
        <v>2000</v>
      </c>
      <c r="L36" s="10">
        <v>0.22</v>
      </c>
      <c r="M36" t="s">
        <v>185</v>
      </c>
      <c r="N36" t="s">
        <v>100</v>
      </c>
    </row>
    <row r="37" spans="1:14" ht="14.5" x14ac:dyDescent="0.35">
      <c r="A37" t="s">
        <v>186</v>
      </c>
      <c r="B37" t="s">
        <v>187</v>
      </c>
      <c r="C37" t="s">
        <v>78</v>
      </c>
      <c r="D37">
        <v>549</v>
      </c>
      <c r="E37">
        <v>269</v>
      </c>
      <c r="F37">
        <v>22</v>
      </c>
      <c r="G37">
        <v>10.9</v>
      </c>
      <c r="H37">
        <v>10</v>
      </c>
      <c r="I37" s="9">
        <v>2585</v>
      </c>
      <c r="J37" t="s">
        <v>123</v>
      </c>
      <c r="K37" s="9">
        <v>2500</v>
      </c>
      <c r="L37" s="10">
        <v>0.18</v>
      </c>
      <c r="M37" t="s">
        <v>188</v>
      </c>
      <c r="N37" t="s">
        <v>81</v>
      </c>
    </row>
    <row r="38" spans="1:14" ht="14.5" x14ac:dyDescent="0.35">
      <c r="A38" t="s">
        <v>189</v>
      </c>
      <c r="B38" t="s">
        <v>190</v>
      </c>
      <c r="C38" t="s">
        <v>88</v>
      </c>
      <c r="D38">
        <v>63</v>
      </c>
      <c r="E38">
        <v>49</v>
      </c>
      <c r="F38">
        <v>4.9000000000000004</v>
      </c>
      <c r="G38">
        <v>1.3</v>
      </c>
      <c r="H38">
        <v>10</v>
      </c>
      <c r="I38" s="9">
        <v>196</v>
      </c>
      <c r="J38" t="s">
        <v>123</v>
      </c>
      <c r="K38" s="9">
        <v>2500</v>
      </c>
      <c r="L38" s="10">
        <v>0.22</v>
      </c>
      <c r="M38" t="s">
        <v>191</v>
      </c>
      <c r="N38" t="s">
        <v>81</v>
      </c>
    </row>
    <row r="39" spans="1:14" ht="14.5" x14ac:dyDescent="0.35">
      <c r="A39" t="s">
        <v>192</v>
      </c>
      <c r="B39" t="s">
        <v>187</v>
      </c>
      <c r="C39" t="s">
        <v>78</v>
      </c>
      <c r="D39">
        <v>65</v>
      </c>
      <c r="E39">
        <v>435</v>
      </c>
      <c r="F39">
        <v>31.9</v>
      </c>
      <c r="G39">
        <v>7.9</v>
      </c>
      <c r="H39">
        <v>12</v>
      </c>
      <c r="I39" s="9">
        <v>2087</v>
      </c>
      <c r="J39" t="s">
        <v>110</v>
      </c>
      <c r="K39" s="9">
        <v>2000</v>
      </c>
      <c r="L39" s="10">
        <v>0.25</v>
      </c>
      <c r="M39" t="s">
        <v>193</v>
      </c>
      <c r="N39" t="s">
        <v>81</v>
      </c>
    </row>
    <row r="40" spans="1:14" ht="14.5" x14ac:dyDescent="0.35">
      <c r="A40" t="s">
        <v>194</v>
      </c>
      <c r="B40" t="s">
        <v>195</v>
      </c>
      <c r="C40" t="s">
        <v>92</v>
      </c>
      <c r="D40">
        <v>444</v>
      </c>
      <c r="E40">
        <v>23</v>
      </c>
      <c r="F40">
        <v>2.2000000000000002</v>
      </c>
      <c r="G40">
        <v>0.9</v>
      </c>
      <c r="H40">
        <v>10</v>
      </c>
      <c r="I40" s="9">
        <v>476</v>
      </c>
      <c r="J40" t="s">
        <v>123</v>
      </c>
      <c r="K40" s="9">
        <v>1500</v>
      </c>
      <c r="L40" s="10">
        <v>0.21</v>
      </c>
      <c r="M40" t="s">
        <v>124</v>
      </c>
      <c r="N40" t="s">
        <v>81</v>
      </c>
    </row>
    <row r="41" spans="1:14" ht="14.5" x14ac:dyDescent="0.35">
      <c r="A41" t="s">
        <v>196</v>
      </c>
      <c r="B41" t="s">
        <v>128</v>
      </c>
      <c r="C41" t="s">
        <v>78</v>
      </c>
      <c r="D41">
        <v>241</v>
      </c>
      <c r="E41">
        <v>280</v>
      </c>
      <c r="F41">
        <v>7.9</v>
      </c>
      <c r="G41">
        <v>4.3</v>
      </c>
      <c r="H41">
        <v>27</v>
      </c>
      <c r="I41" s="9">
        <v>187</v>
      </c>
      <c r="J41" t="s">
        <v>84</v>
      </c>
      <c r="K41" s="9">
        <v>1500</v>
      </c>
      <c r="L41" s="10">
        <v>0.23</v>
      </c>
      <c r="M41" t="s">
        <v>197</v>
      </c>
      <c r="N41" t="s">
        <v>100</v>
      </c>
    </row>
    <row r="42" spans="1:14" ht="14.5" x14ac:dyDescent="0.35">
      <c r="A42" t="s">
        <v>198</v>
      </c>
      <c r="B42" t="s">
        <v>199</v>
      </c>
      <c r="C42" t="s">
        <v>92</v>
      </c>
      <c r="D42">
        <v>285</v>
      </c>
      <c r="E42">
        <v>535</v>
      </c>
      <c r="F42">
        <v>26.1</v>
      </c>
      <c r="G42">
        <v>10.8</v>
      </c>
      <c r="H42">
        <v>25</v>
      </c>
      <c r="I42" s="9">
        <v>563</v>
      </c>
      <c r="J42" t="s">
        <v>79</v>
      </c>
      <c r="K42" s="9">
        <v>1500</v>
      </c>
      <c r="L42" s="10">
        <v>0.21</v>
      </c>
      <c r="M42" t="s">
        <v>103</v>
      </c>
      <c r="N42" t="s">
        <v>94</v>
      </c>
    </row>
    <row r="43" spans="1:14" ht="14.5" x14ac:dyDescent="0.35">
      <c r="A43" t="s">
        <v>200</v>
      </c>
      <c r="B43" t="s">
        <v>201</v>
      </c>
      <c r="C43" t="s">
        <v>97</v>
      </c>
      <c r="D43">
        <v>18</v>
      </c>
      <c r="E43">
        <v>174</v>
      </c>
      <c r="F43">
        <v>11.6</v>
      </c>
      <c r="G43">
        <v>3.6</v>
      </c>
      <c r="H43">
        <v>14</v>
      </c>
      <c r="I43" s="9">
        <v>1648</v>
      </c>
      <c r="J43" t="s">
        <v>98</v>
      </c>
      <c r="K43" s="9">
        <v>2000</v>
      </c>
      <c r="L43" s="10">
        <v>0.25</v>
      </c>
      <c r="M43" t="s">
        <v>202</v>
      </c>
      <c r="N43" t="s">
        <v>94</v>
      </c>
    </row>
    <row r="44" spans="1:14" ht="14.5" x14ac:dyDescent="0.35">
      <c r="A44" t="s">
        <v>203</v>
      </c>
      <c r="B44" t="s">
        <v>204</v>
      </c>
      <c r="C44" t="s">
        <v>92</v>
      </c>
      <c r="D44">
        <v>498</v>
      </c>
      <c r="E44">
        <v>35</v>
      </c>
      <c r="F44">
        <v>2.9</v>
      </c>
      <c r="G44">
        <v>1.7</v>
      </c>
      <c r="H44">
        <v>10</v>
      </c>
      <c r="I44" s="9">
        <v>520</v>
      </c>
      <c r="J44" t="s">
        <v>123</v>
      </c>
      <c r="K44" s="9">
        <v>2000</v>
      </c>
      <c r="L44" s="10">
        <v>0.18</v>
      </c>
      <c r="M44" t="s">
        <v>205</v>
      </c>
      <c r="N44" t="s">
        <v>81</v>
      </c>
    </row>
    <row r="45" spans="1:14" ht="14.5" x14ac:dyDescent="0.35">
      <c r="A45" t="s">
        <v>206</v>
      </c>
      <c r="B45" t="s">
        <v>201</v>
      </c>
      <c r="C45" t="s">
        <v>97</v>
      </c>
      <c r="D45">
        <v>459</v>
      </c>
      <c r="E45">
        <v>145</v>
      </c>
      <c r="F45">
        <v>3.8</v>
      </c>
      <c r="G45">
        <v>0.9</v>
      </c>
      <c r="H45">
        <v>27</v>
      </c>
      <c r="I45" s="9">
        <v>1288</v>
      </c>
      <c r="J45" t="s">
        <v>79</v>
      </c>
      <c r="K45" s="9">
        <v>2500</v>
      </c>
      <c r="L45" s="10">
        <v>0.23</v>
      </c>
      <c r="M45" t="s">
        <v>207</v>
      </c>
      <c r="N45" t="s">
        <v>81</v>
      </c>
    </row>
    <row r="46" spans="1:14" ht="14.5" x14ac:dyDescent="0.35">
      <c r="A46" t="s">
        <v>208</v>
      </c>
      <c r="B46" t="s">
        <v>209</v>
      </c>
      <c r="C46" t="s">
        <v>92</v>
      </c>
      <c r="D46">
        <v>156</v>
      </c>
      <c r="E46">
        <v>330</v>
      </c>
      <c r="F46">
        <v>17.100000000000001</v>
      </c>
      <c r="G46">
        <v>7.5</v>
      </c>
      <c r="H46">
        <v>16</v>
      </c>
      <c r="I46" s="9">
        <v>548</v>
      </c>
      <c r="J46" t="s">
        <v>98</v>
      </c>
      <c r="K46" s="9">
        <v>2000</v>
      </c>
      <c r="L46" s="10">
        <v>0.19</v>
      </c>
      <c r="M46" t="s">
        <v>210</v>
      </c>
      <c r="N46" t="s">
        <v>81</v>
      </c>
    </row>
    <row r="47" spans="1:14" ht="14.5" x14ac:dyDescent="0.35">
      <c r="A47" t="s">
        <v>211</v>
      </c>
      <c r="B47" t="s">
        <v>173</v>
      </c>
      <c r="C47" t="s">
        <v>78</v>
      </c>
      <c r="D47">
        <v>129</v>
      </c>
      <c r="E47">
        <v>197</v>
      </c>
      <c r="F47">
        <v>28.8</v>
      </c>
      <c r="G47">
        <v>8</v>
      </c>
      <c r="H47">
        <v>7</v>
      </c>
      <c r="I47" s="9">
        <v>764</v>
      </c>
      <c r="J47" t="s">
        <v>84</v>
      </c>
      <c r="K47" s="9">
        <v>3000</v>
      </c>
      <c r="L47" s="10">
        <v>0.21</v>
      </c>
      <c r="M47" t="s">
        <v>212</v>
      </c>
      <c r="N47" t="s">
        <v>81</v>
      </c>
    </row>
    <row r="48" spans="1:14" ht="14.5" x14ac:dyDescent="0.35">
      <c r="A48" t="s">
        <v>213</v>
      </c>
      <c r="B48" t="s">
        <v>139</v>
      </c>
      <c r="C48" t="s">
        <v>88</v>
      </c>
      <c r="D48">
        <v>204</v>
      </c>
      <c r="E48">
        <v>51</v>
      </c>
      <c r="F48">
        <v>8.6999999999999993</v>
      </c>
      <c r="G48">
        <v>3.7</v>
      </c>
      <c r="H48">
        <v>5</v>
      </c>
      <c r="I48" s="9">
        <v>157</v>
      </c>
      <c r="J48" t="s">
        <v>123</v>
      </c>
      <c r="K48" s="9">
        <v>2500</v>
      </c>
      <c r="L48" s="10">
        <v>0.18</v>
      </c>
      <c r="M48" t="s">
        <v>214</v>
      </c>
      <c r="N48" t="s">
        <v>81</v>
      </c>
    </row>
    <row r="49" spans="1:14" ht="14.5" x14ac:dyDescent="0.35">
      <c r="A49" t="s">
        <v>215</v>
      </c>
      <c r="B49" t="s">
        <v>216</v>
      </c>
      <c r="C49" t="s">
        <v>106</v>
      </c>
      <c r="D49">
        <v>546</v>
      </c>
      <c r="E49">
        <v>92</v>
      </c>
      <c r="F49">
        <v>3</v>
      </c>
      <c r="G49">
        <v>0.8</v>
      </c>
      <c r="H49">
        <v>21</v>
      </c>
      <c r="I49" s="9">
        <v>283</v>
      </c>
      <c r="J49" t="s">
        <v>79</v>
      </c>
      <c r="K49" s="9">
        <v>2500</v>
      </c>
      <c r="L49" s="10">
        <v>0.21</v>
      </c>
      <c r="M49" t="s">
        <v>111</v>
      </c>
      <c r="N49" t="s">
        <v>94</v>
      </c>
    </row>
    <row r="50" spans="1:14" ht="14.5" x14ac:dyDescent="0.35">
      <c r="A50" t="s">
        <v>217</v>
      </c>
      <c r="B50" t="s">
        <v>218</v>
      </c>
      <c r="C50" t="s">
        <v>92</v>
      </c>
      <c r="D50">
        <v>594</v>
      </c>
      <c r="E50">
        <v>302</v>
      </c>
      <c r="F50">
        <v>13</v>
      </c>
      <c r="G50">
        <v>6.5</v>
      </c>
      <c r="H50">
        <v>23</v>
      </c>
      <c r="I50" s="9">
        <v>503</v>
      </c>
      <c r="J50" t="s">
        <v>123</v>
      </c>
      <c r="K50" s="9">
        <v>2500</v>
      </c>
      <c r="L50" s="10">
        <v>0.21</v>
      </c>
      <c r="M50" t="s">
        <v>219</v>
      </c>
      <c r="N50" t="s">
        <v>100</v>
      </c>
    </row>
    <row r="51" spans="1:14" ht="14.5" x14ac:dyDescent="0.35">
      <c r="A51" t="s">
        <v>220</v>
      </c>
      <c r="B51" t="s">
        <v>221</v>
      </c>
      <c r="C51" t="s">
        <v>97</v>
      </c>
      <c r="D51">
        <v>253</v>
      </c>
      <c r="E51">
        <v>110</v>
      </c>
      <c r="F51">
        <v>3.9</v>
      </c>
      <c r="G51">
        <v>0.8</v>
      </c>
      <c r="H51">
        <v>27</v>
      </c>
      <c r="I51" s="9">
        <v>544</v>
      </c>
      <c r="J51" t="s">
        <v>110</v>
      </c>
      <c r="K51" s="9">
        <v>3000</v>
      </c>
      <c r="L51" s="10">
        <v>0.19</v>
      </c>
      <c r="M51" t="s">
        <v>111</v>
      </c>
      <c r="N51" t="s">
        <v>100</v>
      </c>
    </row>
    <row r="52" spans="1:14" ht="14.5" x14ac:dyDescent="0.35">
      <c r="A52" t="s">
        <v>222</v>
      </c>
      <c r="B52" t="s">
        <v>223</v>
      </c>
      <c r="C52" t="s">
        <v>106</v>
      </c>
      <c r="D52">
        <v>435</v>
      </c>
      <c r="E52">
        <v>247</v>
      </c>
      <c r="F52">
        <v>7.7</v>
      </c>
      <c r="G52">
        <v>2.1</v>
      </c>
      <c r="H52">
        <v>26</v>
      </c>
      <c r="I52" s="9">
        <v>173</v>
      </c>
      <c r="J52" t="s">
        <v>98</v>
      </c>
      <c r="K52" s="9">
        <v>2000</v>
      </c>
      <c r="L52" s="10">
        <v>0.24</v>
      </c>
      <c r="M52" t="s">
        <v>224</v>
      </c>
      <c r="N52" t="s">
        <v>94</v>
      </c>
    </row>
    <row r="53" spans="1:14" ht="14.5" x14ac:dyDescent="0.35">
      <c r="A53" t="s">
        <v>225</v>
      </c>
      <c r="B53" t="s">
        <v>226</v>
      </c>
      <c r="C53" t="s">
        <v>78</v>
      </c>
      <c r="D53">
        <v>434</v>
      </c>
      <c r="E53">
        <v>56</v>
      </c>
      <c r="F53">
        <v>2.8</v>
      </c>
      <c r="G53">
        <v>0.6</v>
      </c>
      <c r="H53">
        <v>17</v>
      </c>
      <c r="I53" s="9">
        <v>660</v>
      </c>
      <c r="J53" t="s">
        <v>123</v>
      </c>
      <c r="K53" s="9">
        <v>3000</v>
      </c>
      <c r="L53" s="10">
        <v>0.23</v>
      </c>
      <c r="M53" t="s">
        <v>227</v>
      </c>
      <c r="N53" t="s">
        <v>81</v>
      </c>
    </row>
    <row r="54" spans="1:14" ht="14.5" x14ac:dyDescent="0.35">
      <c r="A54" t="s">
        <v>228</v>
      </c>
      <c r="B54" t="s">
        <v>229</v>
      </c>
      <c r="C54" t="s">
        <v>97</v>
      </c>
      <c r="D54">
        <v>441</v>
      </c>
      <c r="E54">
        <v>318</v>
      </c>
      <c r="F54">
        <v>12.1</v>
      </c>
      <c r="G54">
        <v>5.3</v>
      </c>
      <c r="H54">
        <v>19</v>
      </c>
      <c r="I54" s="9">
        <v>596</v>
      </c>
      <c r="J54" t="s">
        <v>110</v>
      </c>
      <c r="K54" s="9">
        <v>2000</v>
      </c>
      <c r="L54" s="10">
        <v>0.23</v>
      </c>
      <c r="M54" t="s">
        <v>99</v>
      </c>
      <c r="N54" t="s">
        <v>94</v>
      </c>
    </row>
    <row r="55" spans="1:14" ht="14.5" x14ac:dyDescent="0.35">
      <c r="A55" t="s">
        <v>230</v>
      </c>
      <c r="B55" t="s">
        <v>231</v>
      </c>
      <c r="C55" t="s">
        <v>88</v>
      </c>
      <c r="D55">
        <v>470</v>
      </c>
      <c r="E55">
        <v>97</v>
      </c>
      <c r="F55">
        <v>7.1</v>
      </c>
      <c r="G55">
        <v>2.1</v>
      </c>
      <c r="H55">
        <v>10</v>
      </c>
      <c r="I55" s="9">
        <v>157</v>
      </c>
      <c r="J55" t="s">
        <v>84</v>
      </c>
      <c r="K55" s="9">
        <v>1500</v>
      </c>
      <c r="L55" s="10">
        <v>0.23</v>
      </c>
      <c r="M55" t="s">
        <v>85</v>
      </c>
      <c r="N55" t="s">
        <v>94</v>
      </c>
    </row>
    <row r="56" spans="1:14" ht="14.5" x14ac:dyDescent="0.35">
      <c r="A56" t="s">
        <v>232</v>
      </c>
      <c r="B56" t="s">
        <v>233</v>
      </c>
      <c r="C56" t="s">
        <v>97</v>
      </c>
      <c r="D56">
        <v>0</v>
      </c>
      <c r="E56">
        <v>99</v>
      </c>
      <c r="F56">
        <v>4.0999999999999996</v>
      </c>
      <c r="G56">
        <v>2.4</v>
      </c>
      <c r="H56">
        <v>20</v>
      </c>
      <c r="I56" s="9">
        <v>517</v>
      </c>
      <c r="J56" t="s">
        <v>110</v>
      </c>
      <c r="K56" s="9">
        <v>1500</v>
      </c>
      <c r="L56" s="10">
        <v>0.25</v>
      </c>
      <c r="M56" t="s">
        <v>117</v>
      </c>
      <c r="N56" t="s">
        <v>81</v>
      </c>
    </row>
    <row r="57" spans="1:14" ht="14.5" x14ac:dyDescent="0.35">
      <c r="A57" t="s">
        <v>234</v>
      </c>
      <c r="B57" t="s">
        <v>235</v>
      </c>
      <c r="C57" t="s">
        <v>97</v>
      </c>
      <c r="D57">
        <v>463</v>
      </c>
      <c r="E57">
        <v>651</v>
      </c>
      <c r="F57">
        <v>23.6</v>
      </c>
      <c r="G57">
        <v>8.1999999999999993</v>
      </c>
      <c r="H57">
        <v>22</v>
      </c>
      <c r="I57" s="9">
        <v>849</v>
      </c>
      <c r="J57" t="s">
        <v>84</v>
      </c>
      <c r="K57" s="9">
        <v>3000</v>
      </c>
      <c r="L57" s="10">
        <v>0.2</v>
      </c>
      <c r="M57" t="s">
        <v>236</v>
      </c>
      <c r="N57" t="s">
        <v>94</v>
      </c>
    </row>
    <row r="58" spans="1:14" ht="14.5" x14ac:dyDescent="0.35">
      <c r="A58" t="s">
        <v>237</v>
      </c>
      <c r="B58" t="s">
        <v>238</v>
      </c>
      <c r="C58" t="s">
        <v>78</v>
      </c>
      <c r="D58">
        <v>129</v>
      </c>
      <c r="E58">
        <v>463</v>
      </c>
      <c r="F58">
        <v>19.2</v>
      </c>
      <c r="G58">
        <v>4.0999999999999996</v>
      </c>
      <c r="H58">
        <v>27</v>
      </c>
      <c r="I58" s="9">
        <v>736</v>
      </c>
      <c r="J58" t="s">
        <v>79</v>
      </c>
      <c r="K58" s="9">
        <v>1500</v>
      </c>
      <c r="L58" s="10">
        <v>0.23</v>
      </c>
      <c r="M58" t="s">
        <v>239</v>
      </c>
      <c r="N58" t="s">
        <v>100</v>
      </c>
    </row>
    <row r="59" spans="1:14" ht="14.5" x14ac:dyDescent="0.35">
      <c r="A59" t="s">
        <v>240</v>
      </c>
      <c r="B59" t="s">
        <v>241</v>
      </c>
      <c r="C59" t="s">
        <v>88</v>
      </c>
      <c r="D59">
        <v>142</v>
      </c>
      <c r="E59">
        <v>21</v>
      </c>
      <c r="F59">
        <v>3.7</v>
      </c>
      <c r="G59">
        <v>1.3</v>
      </c>
      <c r="H59">
        <v>4</v>
      </c>
      <c r="I59" s="9">
        <v>137</v>
      </c>
      <c r="J59" t="s">
        <v>84</v>
      </c>
      <c r="K59" s="9">
        <v>2500</v>
      </c>
      <c r="L59" s="10">
        <v>0.23</v>
      </c>
      <c r="M59" t="s">
        <v>242</v>
      </c>
      <c r="N59" t="s">
        <v>94</v>
      </c>
    </row>
    <row r="60" spans="1:14" ht="14.5" x14ac:dyDescent="0.35">
      <c r="A60" t="s">
        <v>243</v>
      </c>
      <c r="B60" t="s">
        <v>133</v>
      </c>
      <c r="C60" t="s">
        <v>106</v>
      </c>
      <c r="D60">
        <v>322</v>
      </c>
      <c r="E60">
        <v>79</v>
      </c>
      <c r="F60">
        <v>5.5</v>
      </c>
      <c r="G60">
        <v>2.7</v>
      </c>
      <c r="H60">
        <v>18</v>
      </c>
      <c r="I60" s="9">
        <v>58</v>
      </c>
      <c r="J60" t="s">
        <v>98</v>
      </c>
      <c r="K60" s="9">
        <v>3000</v>
      </c>
      <c r="L60" s="10">
        <v>0.2</v>
      </c>
      <c r="M60" t="s">
        <v>244</v>
      </c>
      <c r="N60" t="s">
        <v>81</v>
      </c>
    </row>
    <row r="61" spans="1:14" ht="14.5" x14ac:dyDescent="0.35">
      <c r="A61" t="s">
        <v>245</v>
      </c>
      <c r="B61" t="s">
        <v>246</v>
      </c>
      <c r="C61" t="s">
        <v>106</v>
      </c>
      <c r="D61">
        <v>389</v>
      </c>
      <c r="E61">
        <v>201</v>
      </c>
      <c r="F61">
        <v>8</v>
      </c>
      <c r="G61">
        <v>1.7</v>
      </c>
      <c r="H61">
        <v>19</v>
      </c>
      <c r="I61" s="9">
        <v>68</v>
      </c>
      <c r="J61" t="s">
        <v>123</v>
      </c>
      <c r="K61" s="9">
        <v>2500</v>
      </c>
      <c r="L61" s="10">
        <v>0.22</v>
      </c>
      <c r="M61" t="s">
        <v>247</v>
      </c>
      <c r="N61" t="s">
        <v>94</v>
      </c>
    </row>
    <row r="62" spans="1:14" ht="14.5" x14ac:dyDescent="0.35">
      <c r="A62" t="s">
        <v>248</v>
      </c>
      <c r="B62" t="s">
        <v>126</v>
      </c>
      <c r="C62" t="s">
        <v>78</v>
      </c>
      <c r="D62">
        <v>413</v>
      </c>
      <c r="E62">
        <v>300</v>
      </c>
      <c r="F62">
        <v>25.8</v>
      </c>
      <c r="G62">
        <v>11.1</v>
      </c>
      <c r="H62">
        <v>9</v>
      </c>
      <c r="I62" s="9">
        <v>1013</v>
      </c>
      <c r="J62" t="s">
        <v>110</v>
      </c>
      <c r="K62" s="9">
        <v>2500</v>
      </c>
      <c r="L62" s="10">
        <v>0.19</v>
      </c>
      <c r="M62" t="s">
        <v>249</v>
      </c>
      <c r="N62" t="s">
        <v>94</v>
      </c>
    </row>
    <row r="63" spans="1:14" ht="14.5" x14ac:dyDescent="0.35">
      <c r="A63" t="s">
        <v>250</v>
      </c>
      <c r="B63" t="s">
        <v>251</v>
      </c>
      <c r="C63" t="s">
        <v>88</v>
      </c>
      <c r="D63">
        <v>358</v>
      </c>
      <c r="E63">
        <v>90</v>
      </c>
      <c r="F63">
        <v>5.8</v>
      </c>
      <c r="G63">
        <v>2.2000000000000002</v>
      </c>
      <c r="H63">
        <v>15</v>
      </c>
      <c r="I63" s="9">
        <v>126</v>
      </c>
      <c r="J63" t="s">
        <v>123</v>
      </c>
      <c r="K63" s="9">
        <v>3000</v>
      </c>
      <c r="L63" s="10">
        <v>0.19</v>
      </c>
      <c r="M63" t="s">
        <v>85</v>
      </c>
      <c r="N63" t="s">
        <v>81</v>
      </c>
    </row>
    <row r="64" spans="1:14" ht="14.5" x14ac:dyDescent="0.35">
      <c r="A64" t="s">
        <v>252</v>
      </c>
      <c r="B64" t="s">
        <v>253</v>
      </c>
      <c r="C64" t="s">
        <v>78</v>
      </c>
      <c r="D64">
        <v>391</v>
      </c>
      <c r="E64">
        <v>41</v>
      </c>
      <c r="F64">
        <v>1.4</v>
      </c>
      <c r="G64">
        <v>0.4</v>
      </c>
      <c r="H64">
        <v>22</v>
      </c>
      <c r="I64" s="9">
        <v>162</v>
      </c>
      <c r="J64" t="s">
        <v>84</v>
      </c>
      <c r="K64" s="9">
        <v>1500</v>
      </c>
      <c r="L64" s="10">
        <v>0.24</v>
      </c>
      <c r="M64" t="s">
        <v>254</v>
      </c>
      <c r="N64" t="s">
        <v>94</v>
      </c>
    </row>
    <row r="65" spans="1:14" ht="14.5" x14ac:dyDescent="0.35">
      <c r="A65" t="s">
        <v>255</v>
      </c>
      <c r="B65" t="s">
        <v>256</v>
      </c>
      <c r="C65" t="s">
        <v>92</v>
      </c>
      <c r="D65">
        <v>411</v>
      </c>
      <c r="E65">
        <v>59</v>
      </c>
      <c r="F65">
        <v>8.9</v>
      </c>
      <c r="G65">
        <v>5.0999999999999996</v>
      </c>
      <c r="H65">
        <v>8</v>
      </c>
      <c r="I65" s="9">
        <v>540</v>
      </c>
      <c r="J65" t="s">
        <v>84</v>
      </c>
      <c r="K65" s="9">
        <v>3000</v>
      </c>
      <c r="L65" s="10">
        <v>0.21</v>
      </c>
      <c r="M65" t="s">
        <v>247</v>
      </c>
      <c r="N65" t="s">
        <v>100</v>
      </c>
    </row>
    <row r="66" spans="1:14" ht="14.5" x14ac:dyDescent="0.35">
      <c r="A66" t="s">
        <v>257</v>
      </c>
      <c r="B66" t="s">
        <v>258</v>
      </c>
      <c r="C66" t="s">
        <v>106</v>
      </c>
      <c r="D66">
        <v>90</v>
      </c>
      <c r="E66">
        <v>89</v>
      </c>
      <c r="F66">
        <v>10.6</v>
      </c>
      <c r="G66">
        <v>3.7</v>
      </c>
      <c r="H66">
        <v>10</v>
      </c>
      <c r="I66" s="9">
        <v>202</v>
      </c>
      <c r="J66" t="s">
        <v>84</v>
      </c>
      <c r="K66" s="9">
        <v>1500</v>
      </c>
      <c r="L66" s="10">
        <v>0.23</v>
      </c>
      <c r="M66" t="s">
        <v>259</v>
      </c>
      <c r="N66" t="s">
        <v>81</v>
      </c>
    </row>
    <row r="67" spans="1:14" ht="14.5" x14ac:dyDescent="0.35">
      <c r="A67" t="s">
        <v>260</v>
      </c>
      <c r="B67" t="s">
        <v>261</v>
      </c>
      <c r="C67" t="s">
        <v>106</v>
      </c>
      <c r="D67">
        <v>149</v>
      </c>
      <c r="E67">
        <v>84</v>
      </c>
      <c r="F67">
        <v>13.3</v>
      </c>
      <c r="G67">
        <v>7.6</v>
      </c>
      <c r="H67">
        <v>6</v>
      </c>
      <c r="I67" s="9">
        <v>256</v>
      </c>
      <c r="J67" t="s">
        <v>123</v>
      </c>
      <c r="K67" s="9">
        <v>2500</v>
      </c>
      <c r="L67" s="10">
        <v>0.19</v>
      </c>
      <c r="M67" t="s">
        <v>262</v>
      </c>
      <c r="N67" t="s">
        <v>81</v>
      </c>
    </row>
    <row r="68" spans="1:14" ht="14.5" x14ac:dyDescent="0.35">
      <c r="A68" t="s">
        <v>263</v>
      </c>
      <c r="B68" t="s">
        <v>264</v>
      </c>
      <c r="C68" t="s">
        <v>92</v>
      </c>
      <c r="D68">
        <v>475</v>
      </c>
      <c r="E68">
        <v>70</v>
      </c>
      <c r="F68">
        <v>15.4</v>
      </c>
      <c r="G68">
        <v>8.9</v>
      </c>
      <c r="H68">
        <v>4</v>
      </c>
      <c r="I68" s="9">
        <v>949</v>
      </c>
      <c r="J68" t="s">
        <v>84</v>
      </c>
      <c r="K68" s="9">
        <v>2500</v>
      </c>
      <c r="L68" s="10">
        <v>0.22</v>
      </c>
      <c r="M68" t="s">
        <v>265</v>
      </c>
      <c r="N68" t="s">
        <v>81</v>
      </c>
    </row>
    <row r="69" spans="1:14" ht="14.5" x14ac:dyDescent="0.35">
      <c r="A69" t="s">
        <v>266</v>
      </c>
      <c r="B69" t="s">
        <v>267</v>
      </c>
      <c r="C69" t="s">
        <v>92</v>
      </c>
      <c r="D69">
        <v>54</v>
      </c>
      <c r="E69">
        <v>74</v>
      </c>
      <c r="F69">
        <v>5.7</v>
      </c>
      <c r="G69">
        <v>1.8</v>
      </c>
      <c r="H69">
        <v>9</v>
      </c>
      <c r="I69" s="9">
        <v>316</v>
      </c>
      <c r="J69" t="s">
        <v>110</v>
      </c>
      <c r="K69" s="9">
        <v>2000</v>
      </c>
      <c r="L69" s="10">
        <v>0.22</v>
      </c>
      <c r="M69" t="s">
        <v>268</v>
      </c>
      <c r="N69" t="s">
        <v>81</v>
      </c>
    </row>
    <row r="70" spans="1:14" ht="14.5" x14ac:dyDescent="0.35">
      <c r="A70" t="s">
        <v>269</v>
      </c>
      <c r="B70" t="s">
        <v>270</v>
      </c>
      <c r="C70" t="s">
        <v>92</v>
      </c>
      <c r="D70">
        <v>148</v>
      </c>
      <c r="E70">
        <v>368</v>
      </c>
      <c r="F70">
        <v>14.7</v>
      </c>
      <c r="G70">
        <v>8.3000000000000007</v>
      </c>
      <c r="H70">
        <v>28</v>
      </c>
      <c r="I70" s="9">
        <v>521</v>
      </c>
      <c r="J70" t="s">
        <v>110</v>
      </c>
      <c r="K70" s="9">
        <v>3000</v>
      </c>
      <c r="L70" s="10">
        <v>0.22</v>
      </c>
      <c r="M70" t="s">
        <v>271</v>
      </c>
      <c r="N70" t="s">
        <v>81</v>
      </c>
    </row>
    <row r="71" spans="1:14" ht="14.5" x14ac:dyDescent="0.35">
      <c r="A71" t="s">
        <v>272</v>
      </c>
      <c r="B71" t="s">
        <v>273</v>
      </c>
      <c r="C71" t="s">
        <v>106</v>
      </c>
      <c r="D71">
        <v>202</v>
      </c>
      <c r="E71">
        <v>129</v>
      </c>
      <c r="F71">
        <v>11</v>
      </c>
      <c r="G71">
        <v>6.4</v>
      </c>
      <c r="H71">
        <v>12</v>
      </c>
      <c r="I71" s="9">
        <v>329</v>
      </c>
      <c r="J71" t="s">
        <v>84</v>
      </c>
      <c r="K71" s="9">
        <v>2500</v>
      </c>
      <c r="L71" s="10">
        <v>0.23</v>
      </c>
      <c r="M71" t="s">
        <v>274</v>
      </c>
      <c r="N71" t="s">
        <v>100</v>
      </c>
    </row>
    <row r="72" spans="1:14" ht="14.5" x14ac:dyDescent="0.35">
      <c r="A72" t="s">
        <v>275</v>
      </c>
      <c r="B72" t="s">
        <v>276</v>
      </c>
      <c r="C72" t="s">
        <v>97</v>
      </c>
      <c r="D72">
        <v>523</v>
      </c>
      <c r="E72">
        <v>118</v>
      </c>
      <c r="F72">
        <v>7.6</v>
      </c>
      <c r="G72">
        <v>3.1</v>
      </c>
      <c r="H72">
        <v>11</v>
      </c>
      <c r="I72" s="9">
        <v>769</v>
      </c>
      <c r="J72" t="s">
        <v>79</v>
      </c>
      <c r="K72" s="9">
        <v>1500</v>
      </c>
      <c r="L72" s="10">
        <v>0.21</v>
      </c>
      <c r="M72" t="s">
        <v>277</v>
      </c>
      <c r="N72" t="s">
        <v>81</v>
      </c>
    </row>
    <row r="73" spans="1:14" ht="14.5" x14ac:dyDescent="0.35">
      <c r="A73" t="s">
        <v>278</v>
      </c>
      <c r="B73" t="s">
        <v>279</v>
      </c>
      <c r="C73" t="s">
        <v>88</v>
      </c>
      <c r="D73">
        <v>356</v>
      </c>
      <c r="E73">
        <v>105</v>
      </c>
      <c r="F73">
        <v>18.8</v>
      </c>
      <c r="G73">
        <v>9</v>
      </c>
      <c r="H73">
        <v>5</v>
      </c>
      <c r="I73" s="9">
        <v>179</v>
      </c>
      <c r="J73" t="s">
        <v>110</v>
      </c>
      <c r="K73" s="9">
        <v>2500</v>
      </c>
      <c r="L73" s="10">
        <v>0.24</v>
      </c>
      <c r="M73" t="s">
        <v>280</v>
      </c>
      <c r="N73" t="s">
        <v>94</v>
      </c>
    </row>
    <row r="74" spans="1:14" ht="14.5" x14ac:dyDescent="0.35">
      <c r="A74" t="s">
        <v>281</v>
      </c>
      <c r="B74" t="s">
        <v>105</v>
      </c>
      <c r="C74" t="s">
        <v>106</v>
      </c>
      <c r="D74">
        <v>74</v>
      </c>
      <c r="E74">
        <v>305</v>
      </c>
      <c r="F74">
        <v>9.3000000000000007</v>
      </c>
      <c r="G74">
        <v>2.9</v>
      </c>
      <c r="H74">
        <v>24</v>
      </c>
      <c r="I74" s="9">
        <v>133</v>
      </c>
      <c r="J74" t="s">
        <v>110</v>
      </c>
      <c r="K74" s="9">
        <v>3000</v>
      </c>
      <c r="L74" s="10">
        <v>0.19</v>
      </c>
      <c r="M74" t="s">
        <v>282</v>
      </c>
      <c r="N74" t="s">
        <v>94</v>
      </c>
    </row>
    <row r="75" spans="1:14" ht="14.5" x14ac:dyDescent="0.35">
      <c r="A75" t="s">
        <v>283</v>
      </c>
      <c r="B75" t="s">
        <v>284</v>
      </c>
      <c r="C75" t="s">
        <v>97</v>
      </c>
      <c r="D75">
        <v>202</v>
      </c>
      <c r="E75">
        <v>120</v>
      </c>
      <c r="F75">
        <v>10.8</v>
      </c>
      <c r="G75">
        <v>5.0999999999999996</v>
      </c>
      <c r="H75">
        <v>9</v>
      </c>
      <c r="I75" s="9">
        <v>1017</v>
      </c>
      <c r="J75" t="s">
        <v>84</v>
      </c>
      <c r="K75" s="9">
        <v>3000</v>
      </c>
      <c r="L75" s="10">
        <v>0.22</v>
      </c>
      <c r="M75" t="s">
        <v>285</v>
      </c>
      <c r="N75" t="s">
        <v>100</v>
      </c>
    </row>
    <row r="76" spans="1:14" ht="14.5" x14ac:dyDescent="0.35">
      <c r="A76" t="s">
        <v>286</v>
      </c>
      <c r="B76" t="s">
        <v>287</v>
      </c>
      <c r="C76" t="s">
        <v>88</v>
      </c>
      <c r="D76">
        <v>279</v>
      </c>
      <c r="E76">
        <v>156</v>
      </c>
      <c r="F76">
        <v>7.7</v>
      </c>
      <c r="G76">
        <v>3.9</v>
      </c>
      <c r="H76">
        <v>18</v>
      </c>
      <c r="I76" s="9">
        <v>195</v>
      </c>
      <c r="J76" t="s">
        <v>84</v>
      </c>
      <c r="K76" s="9">
        <v>3000</v>
      </c>
      <c r="L76" s="10">
        <v>0.18</v>
      </c>
      <c r="M76" t="s">
        <v>288</v>
      </c>
      <c r="N76" t="s">
        <v>100</v>
      </c>
    </row>
    <row r="77" spans="1:14" ht="14.5" x14ac:dyDescent="0.35">
      <c r="A77" t="s">
        <v>289</v>
      </c>
      <c r="B77" t="s">
        <v>290</v>
      </c>
      <c r="C77" t="s">
        <v>106</v>
      </c>
      <c r="D77">
        <v>516</v>
      </c>
      <c r="E77">
        <v>166</v>
      </c>
      <c r="F77">
        <v>10.3</v>
      </c>
      <c r="G77">
        <v>3.3</v>
      </c>
      <c r="H77">
        <v>16</v>
      </c>
      <c r="I77" s="9">
        <v>265</v>
      </c>
      <c r="J77" t="s">
        <v>123</v>
      </c>
      <c r="K77" s="9">
        <v>1500</v>
      </c>
      <c r="L77" s="10">
        <v>0.19</v>
      </c>
      <c r="M77" t="s">
        <v>131</v>
      </c>
      <c r="N77" t="s">
        <v>81</v>
      </c>
    </row>
    <row r="78" spans="1:14" ht="14.5" x14ac:dyDescent="0.35">
      <c r="A78" t="s">
        <v>291</v>
      </c>
      <c r="B78" t="s">
        <v>292</v>
      </c>
      <c r="C78" t="s">
        <v>92</v>
      </c>
      <c r="D78">
        <v>328</v>
      </c>
      <c r="E78">
        <v>231</v>
      </c>
      <c r="F78">
        <v>17.8</v>
      </c>
      <c r="G78">
        <v>8.3000000000000007</v>
      </c>
      <c r="H78">
        <v>12</v>
      </c>
      <c r="I78" s="9">
        <v>526</v>
      </c>
      <c r="J78" t="s">
        <v>110</v>
      </c>
      <c r="K78" s="9">
        <v>2000</v>
      </c>
      <c r="L78" s="10">
        <v>0.2</v>
      </c>
      <c r="M78" t="s">
        <v>262</v>
      </c>
      <c r="N78" t="s">
        <v>100</v>
      </c>
    </row>
    <row r="79" spans="1:14" ht="14.5" x14ac:dyDescent="0.35">
      <c r="A79" t="s">
        <v>293</v>
      </c>
      <c r="B79" t="s">
        <v>109</v>
      </c>
      <c r="C79" t="s">
        <v>88</v>
      </c>
      <c r="D79">
        <v>514</v>
      </c>
      <c r="E79">
        <v>31</v>
      </c>
      <c r="F79">
        <v>1.6</v>
      </c>
      <c r="G79">
        <v>0.8</v>
      </c>
      <c r="H79">
        <v>21</v>
      </c>
      <c r="I79" s="9">
        <v>143</v>
      </c>
      <c r="J79" t="s">
        <v>98</v>
      </c>
      <c r="K79" s="9">
        <v>2000</v>
      </c>
      <c r="L79" s="10">
        <v>0.21</v>
      </c>
      <c r="M79" t="s">
        <v>207</v>
      </c>
      <c r="N79" t="s">
        <v>100</v>
      </c>
    </row>
    <row r="80" spans="1:14" ht="14.5" x14ac:dyDescent="0.35">
      <c r="A80" t="s">
        <v>294</v>
      </c>
      <c r="B80" t="s">
        <v>295</v>
      </c>
      <c r="C80" t="s">
        <v>78</v>
      </c>
      <c r="D80">
        <v>311</v>
      </c>
      <c r="E80">
        <v>149</v>
      </c>
      <c r="F80">
        <v>9.3000000000000007</v>
      </c>
      <c r="G80">
        <v>2</v>
      </c>
      <c r="H80">
        <v>19</v>
      </c>
      <c r="I80" s="9">
        <v>2719</v>
      </c>
      <c r="J80" t="s">
        <v>84</v>
      </c>
      <c r="K80" s="9">
        <v>1500</v>
      </c>
      <c r="L80" s="10">
        <v>0.25</v>
      </c>
      <c r="M80" t="s">
        <v>147</v>
      </c>
      <c r="N80" t="s">
        <v>94</v>
      </c>
    </row>
    <row r="81" spans="1:14" ht="14.5" x14ac:dyDescent="0.35">
      <c r="A81" t="s">
        <v>296</v>
      </c>
      <c r="B81" t="s">
        <v>297</v>
      </c>
      <c r="C81" t="s">
        <v>92</v>
      </c>
      <c r="D81">
        <v>126</v>
      </c>
      <c r="E81">
        <v>20</v>
      </c>
      <c r="F81">
        <v>6</v>
      </c>
      <c r="G81">
        <v>1.9</v>
      </c>
      <c r="H81">
        <v>4</v>
      </c>
      <c r="I81" s="9">
        <v>844</v>
      </c>
      <c r="J81" t="s">
        <v>79</v>
      </c>
      <c r="K81" s="9">
        <v>2000</v>
      </c>
      <c r="L81" s="10">
        <v>0.2</v>
      </c>
      <c r="M81" t="s">
        <v>111</v>
      </c>
      <c r="N81" t="s">
        <v>100</v>
      </c>
    </row>
    <row r="82" spans="1:14" ht="14.5" x14ac:dyDescent="0.35">
      <c r="A82" t="s">
        <v>298</v>
      </c>
      <c r="B82" t="s">
        <v>299</v>
      </c>
      <c r="C82" t="s">
        <v>92</v>
      </c>
      <c r="D82">
        <v>61</v>
      </c>
      <c r="E82">
        <v>68</v>
      </c>
      <c r="F82">
        <v>2.9</v>
      </c>
      <c r="G82">
        <v>0.6</v>
      </c>
      <c r="H82">
        <v>19</v>
      </c>
      <c r="I82" s="9">
        <v>584</v>
      </c>
      <c r="J82" t="s">
        <v>123</v>
      </c>
      <c r="K82" s="9">
        <v>1500</v>
      </c>
      <c r="L82" s="10">
        <v>0.23</v>
      </c>
      <c r="M82" t="s">
        <v>300</v>
      </c>
      <c r="N82" t="s">
        <v>81</v>
      </c>
    </row>
    <row r="83" spans="1:14" ht="14.5" x14ac:dyDescent="0.35">
      <c r="A83" t="s">
        <v>301</v>
      </c>
      <c r="B83" t="s">
        <v>231</v>
      </c>
      <c r="C83" t="s">
        <v>88</v>
      </c>
      <c r="D83">
        <v>269</v>
      </c>
      <c r="E83">
        <v>38</v>
      </c>
      <c r="F83">
        <v>12.2</v>
      </c>
      <c r="G83">
        <v>2.9</v>
      </c>
      <c r="H83">
        <v>3</v>
      </c>
      <c r="I83" s="9">
        <v>208</v>
      </c>
      <c r="J83" t="s">
        <v>98</v>
      </c>
      <c r="K83" s="9">
        <v>3000</v>
      </c>
      <c r="L83" s="10">
        <v>0.21</v>
      </c>
      <c r="M83" t="s">
        <v>302</v>
      </c>
      <c r="N83" t="s">
        <v>100</v>
      </c>
    </row>
    <row r="84" spans="1:14" ht="14.5" x14ac:dyDescent="0.35">
      <c r="A84" t="s">
        <v>303</v>
      </c>
      <c r="B84" t="s">
        <v>199</v>
      </c>
      <c r="C84" t="s">
        <v>92</v>
      </c>
      <c r="D84">
        <v>130</v>
      </c>
      <c r="E84">
        <v>97</v>
      </c>
      <c r="F84">
        <v>2.9</v>
      </c>
      <c r="G84">
        <v>0.8</v>
      </c>
      <c r="H84">
        <v>27</v>
      </c>
      <c r="I84" s="9">
        <v>581</v>
      </c>
      <c r="J84" t="s">
        <v>84</v>
      </c>
      <c r="K84" s="9">
        <v>2000</v>
      </c>
      <c r="L84" s="10">
        <v>0.21</v>
      </c>
      <c r="M84" t="s">
        <v>131</v>
      </c>
      <c r="N84" t="s">
        <v>100</v>
      </c>
    </row>
    <row r="85" spans="1:14" ht="14.5" x14ac:dyDescent="0.35">
      <c r="A85" t="s">
        <v>304</v>
      </c>
      <c r="B85" t="s">
        <v>305</v>
      </c>
      <c r="C85" t="s">
        <v>78</v>
      </c>
      <c r="D85">
        <v>114</v>
      </c>
      <c r="E85">
        <v>226</v>
      </c>
      <c r="F85">
        <v>15.6</v>
      </c>
      <c r="G85">
        <v>5.4</v>
      </c>
      <c r="H85">
        <v>17</v>
      </c>
      <c r="I85" s="9">
        <v>871</v>
      </c>
      <c r="J85" t="s">
        <v>84</v>
      </c>
      <c r="K85" s="9">
        <v>1500</v>
      </c>
      <c r="L85" s="10">
        <v>0.23</v>
      </c>
      <c r="M85" t="s">
        <v>85</v>
      </c>
      <c r="N85" t="s">
        <v>94</v>
      </c>
    </row>
    <row r="86" spans="1:14" ht="14.5" x14ac:dyDescent="0.35">
      <c r="A86" t="s">
        <v>306</v>
      </c>
      <c r="B86" t="s">
        <v>152</v>
      </c>
      <c r="C86" t="s">
        <v>78</v>
      </c>
      <c r="D86">
        <v>257</v>
      </c>
      <c r="E86">
        <v>86</v>
      </c>
      <c r="F86">
        <v>10.1</v>
      </c>
      <c r="G86">
        <v>5.5</v>
      </c>
      <c r="H86">
        <v>8</v>
      </c>
      <c r="I86" s="9">
        <v>207</v>
      </c>
      <c r="J86" t="s">
        <v>110</v>
      </c>
      <c r="K86" s="9">
        <v>1500</v>
      </c>
      <c r="L86" s="10">
        <v>0.18</v>
      </c>
      <c r="M86" t="s">
        <v>153</v>
      </c>
      <c r="N86" t="s">
        <v>94</v>
      </c>
    </row>
    <row r="87" spans="1:14" ht="14.5" x14ac:dyDescent="0.35">
      <c r="A87" t="s">
        <v>307</v>
      </c>
      <c r="B87" t="s">
        <v>308</v>
      </c>
      <c r="C87" t="s">
        <v>97</v>
      </c>
      <c r="D87">
        <v>401</v>
      </c>
      <c r="E87">
        <v>52</v>
      </c>
      <c r="F87">
        <v>20.399999999999999</v>
      </c>
      <c r="G87">
        <v>10.3</v>
      </c>
      <c r="H87">
        <v>3</v>
      </c>
      <c r="I87" s="9">
        <v>1017</v>
      </c>
      <c r="J87" t="s">
        <v>84</v>
      </c>
      <c r="K87" s="9">
        <v>2500</v>
      </c>
      <c r="L87" s="10">
        <v>0.25</v>
      </c>
      <c r="M87" t="s">
        <v>309</v>
      </c>
      <c r="N87" t="s">
        <v>81</v>
      </c>
    </row>
    <row r="88" spans="1:14" ht="14.5" x14ac:dyDescent="0.35">
      <c r="A88" t="s">
        <v>310</v>
      </c>
      <c r="B88" t="s">
        <v>311</v>
      </c>
      <c r="C88" t="s">
        <v>92</v>
      </c>
      <c r="D88">
        <v>504</v>
      </c>
      <c r="E88">
        <v>160</v>
      </c>
      <c r="F88">
        <v>7.6</v>
      </c>
      <c r="G88">
        <v>1.6</v>
      </c>
      <c r="H88">
        <v>16</v>
      </c>
      <c r="I88" s="9">
        <v>522</v>
      </c>
      <c r="J88" t="s">
        <v>110</v>
      </c>
      <c r="K88" s="9">
        <v>2500</v>
      </c>
      <c r="L88" s="10">
        <v>0.2</v>
      </c>
      <c r="M88" t="s">
        <v>153</v>
      </c>
      <c r="N88" t="s">
        <v>81</v>
      </c>
    </row>
    <row r="89" spans="1:14" ht="14.5" x14ac:dyDescent="0.35">
      <c r="A89" t="s">
        <v>312</v>
      </c>
      <c r="B89" t="s">
        <v>313</v>
      </c>
      <c r="C89" t="s">
        <v>97</v>
      </c>
      <c r="D89">
        <v>582</v>
      </c>
      <c r="E89">
        <v>174</v>
      </c>
      <c r="F89">
        <v>7.3</v>
      </c>
      <c r="G89">
        <v>4.0999999999999996</v>
      </c>
      <c r="H89">
        <v>16</v>
      </c>
      <c r="I89" s="9">
        <v>1568</v>
      </c>
      <c r="J89" t="s">
        <v>110</v>
      </c>
      <c r="K89" s="9">
        <v>2500</v>
      </c>
      <c r="L89" s="10">
        <v>0.19</v>
      </c>
      <c r="M89" t="s">
        <v>134</v>
      </c>
      <c r="N89" t="s">
        <v>100</v>
      </c>
    </row>
    <row r="90" spans="1:14" ht="14.5" x14ac:dyDescent="0.35">
      <c r="A90" t="s">
        <v>314</v>
      </c>
      <c r="B90" t="s">
        <v>315</v>
      </c>
      <c r="C90" t="s">
        <v>78</v>
      </c>
      <c r="D90">
        <v>551</v>
      </c>
      <c r="E90">
        <v>437</v>
      </c>
      <c r="F90">
        <v>21.8</v>
      </c>
      <c r="G90">
        <v>8.1999999999999993</v>
      </c>
      <c r="H90">
        <v>23</v>
      </c>
      <c r="I90" s="9">
        <v>201</v>
      </c>
      <c r="J90" t="s">
        <v>110</v>
      </c>
      <c r="K90" s="9">
        <v>2500</v>
      </c>
      <c r="L90" s="10">
        <v>0.24</v>
      </c>
      <c r="M90" t="s">
        <v>316</v>
      </c>
      <c r="N90" t="s">
        <v>94</v>
      </c>
    </row>
    <row r="91" spans="1:14" ht="14.5" x14ac:dyDescent="0.35">
      <c r="A91" t="s">
        <v>317</v>
      </c>
      <c r="B91" t="s">
        <v>201</v>
      </c>
      <c r="C91" t="s">
        <v>97</v>
      </c>
      <c r="D91">
        <v>555</v>
      </c>
      <c r="E91">
        <v>333</v>
      </c>
      <c r="F91">
        <v>13.3</v>
      </c>
      <c r="G91">
        <v>7</v>
      </c>
      <c r="H91">
        <v>25</v>
      </c>
      <c r="I91" s="9">
        <v>1463</v>
      </c>
      <c r="J91" t="s">
        <v>84</v>
      </c>
      <c r="K91" s="9">
        <v>3000</v>
      </c>
      <c r="L91" s="10">
        <v>0.19</v>
      </c>
      <c r="M91" t="s">
        <v>318</v>
      </c>
      <c r="N91" t="s">
        <v>94</v>
      </c>
    </row>
    <row r="92" spans="1:14" ht="14.5" x14ac:dyDescent="0.35">
      <c r="A92" t="s">
        <v>319</v>
      </c>
      <c r="B92" t="s">
        <v>96</v>
      </c>
      <c r="C92" t="s">
        <v>97</v>
      </c>
      <c r="D92">
        <v>332</v>
      </c>
      <c r="E92">
        <v>118</v>
      </c>
      <c r="F92">
        <v>4.5</v>
      </c>
      <c r="G92">
        <v>1.5</v>
      </c>
      <c r="H92">
        <v>19</v>
      </c>
      <c r="I92" s="9">
        <v>810</v>
      </c>
      <c r="J92" t="s">
        <v>79</v>
      </c>
      <c r="K92" s="9">
        <v>3000</v>
      </c>
      <c r="L92" s="10">
        <v>0.24</v>
      </c>
      <c r="M92" t="s">
        <v>247</v>
      </c>
      <c r="N92" t="s">
        <v>81</v>
      </c>
    </row>
    <row r="93" spans="1:14" ht="14.5" x14ac:dyDescent="0.35">
      <c r="A93" t="s">
        <v>320</v>
      </c>
      <c r="B93" t="s">
        <v>321</v>
      </c>
      <c r="C93" t="s">
        <v>97</v>
      </c>
      <c r="D93">
        <v>402</v>
      </c>
      <c r="E93">
        <v>106</v>
      </c>
      <c r="F93">
        <v>5.7</v>
      </c>
      <c r="G93">
        <v>2.2999999999999998</v>
      </c>
      <c r="H93">
        <v>21</v>
      </c>
      <c r="I93" s="9">
        <v>673</v>
      </c>
      <c r="J93" t="s">
        <v>110</v>
      </c>
      <c r="K93" s="9">
        <v>3000</v>
      </c>
      <c r="L93" s="10">
        <v>0.21</v>
      </c>
      <c r="M93" t="s">
        <v>302</v>
      </c>
      <c r="N93" t="s">
        <v>81</v>
      </c>
    </row>
    <row r="94" spans="1:14" ht="14.5" x14ac:dyDescent="0.35">
      <c r="A94" t="s">
        <v>322</v>
      </c>
      <c r="B94" t="s">
        <v>323</v>
      </c>
      <c r="C94" t="s">
        <v>88</v>
      </c>
      <c r="D94">
        <v>66</v>
      </c>
      <c r="E94">
        <v>259</v>
      </c>
      <c r="F94">
        <v>9.1999999999999993</v>
      </c>
      <c r="G94">
        <v>3.1</v>
      </c>
      <c r="H94">
        <v>20</v>
      </c>
      <c r="I94" s="9">
        <v>204</v>
      </c>
      <c r="J94" t="s">
        <v>79</v>
      </c>
      <c r="K94" s="9">
        <v>1500</v>
      </c>
      <c r="L94" s="10">
        <v>0.24</v>
      </c>
      <c r="M94" t="s">
        <v>249</v>
      </c>
      <c r="N94" t="s">
        <v>94</v>
      </c>
    </row>
    <row r="95" spans="1:14" ht="14.5" x14ac:dyDescent="0.35">
      <c r="A95" t="s">
        <v>324</v>
      </c>
      <c r="B95" t="s">
        <v>325</v>
      </c>
      <c r="C95" t="s">
        <v>78</v>
      </c>
      <c r="D95">
        <v>454</v>
      </c>
      <c r="E95">
        <v>6</v>
      </c>
      <c r="F95">
        <v>1</v>
      </c>
      <c r="G95">
        <v>0.3</v>
      </c>
      <c r="H95">
        <v>7</v>
      </c>
      <c r="I95" s="9">
        <v>679</v>
      </c>
      <c r="J95" t="s">
        <v>79</v>
      </c>
      <c r="K95" s="9">
        <v>2000</v>
      </c>
      <c r="L95" s="10">
        <v>0.23</v>
      </c>
      <c r="M95" t="s">
        <v>326</v>
      </c>
      <c r="N95" t="s">
        <v>100</v>
      </c>
    </row>
    <row r="96" spans="1:14" ht="14.5" x14ac:dyDescent="0.35">
      <c r="A96" t="s">
        <v>327</v>
      </c>
      <c r="B96" t="s">
        <v>328</v>
      </c>
      <c r="C96" t="s">
        <v>78</v>
      </c>
      <c r="D96">
        <v>415</v>
      </c>
      <c r="E96">
        <v>217</v>
      </c>
      <c r="F96">
        <v>25.3</v>
      </c>
      <c r="G96">
        <v>12</v>
      </c>
      <c r="H96">
        <v>10</v>
      </c>
      <c r="I96" s="9">
        <v>2793</v>
      </c>
      <c r="J96" t="s">
        <v>98</v>
      </c>
      <c r="K96" s="9">
        <v>2500</v>
      </c>
      <c r="L96" s="10">
        <v>0.19</v>
      </c>
      <c r="M96" t="s">
        <v>329</v>
      </c>
      <c r="N96" t="s">
        <v>81</v>
      </c>
    </row>
    <row r="97" spans="1:14" ht="14.5" x14ac:dyDescent="0.35">
      <c r="A97" t="s">
        <v>330</v>
      </c>
      <c r="B97" t="s">
        <v>279</v>
      </c>
      <c r="C97" t="s">
        <v>88</v>
      </c>
      <c r="D97">
        <v>10</v>
      </c>
      <c r="E97">
        <v>78</v>
      </c>
      <c r="F97">
        <v>14.6</v>
      </c>
      <c r="G97">
        <v>8.3000000000000007</v>
      </c>
      <c r="H97">
        <v>5</v>
      </c>
      <c r="I97" s="9">
        <v>196</v>
      </c>
      <c r="J97" t="s">
        <v>98</v>
      </c>
      <c r="K97" s="9">
        <v>2000</v>
      </c>
      <c r="L97" s="10">
        <v>0.25</v>
      </c>
      <c r="M97" t="s">
        <v>318</v>
      </c>
      <c r="N97" t="s">
        <v>94</v>
      </c>
    </row>
    <row r="98" spans="1:14" ht="14.5" x14ac:dyDescent="0.35">
      <c r="A98" t="s">
        <v>331</v>
      </c>
      <c r="B98" t="s">
        <v>143</v>
      </c>
      <c r="C98" t="s">
        <v>78</v>
      </c>
      <c r="D98">
        <v>352</v>
      </c>
      <c r="E98">
        <v>326</v>
      </c>
      <c r="F98">
        <v>11</v>
      </c>
      <c r="G98">
        <v>5.6</v>
      </c>
      <c r="H98">
        <v>21</v>
      </c>
      <c r="I98" s="9">
        <v>166</v>
      </c>
      <c r="J98" t="s">
        <v>123</v>
      </c>
      <c r="K98" s="9">
        <v>2000</v>
      </c>
      <c r="L98" s="10">
        <v>0.22</v>
      </c>
      <c r="M98" t="s">
        <v>332</v>
      </c>
      <c r="N98" t="s">
        <v>94</v>
      </c>
    </row>
    <row r="99" spans="1:14" ht="14.5" x14ac:dyDescent="0.35">
      <c r="A99" t="s">
        <v>333</v>
      </c>
      <c r="B99" t="s">
        <v>181</v>
      </c>
      <c r="C99" t="s">
        <v>88</v>
      </c>
      <c r="D99">
        <v>297</v>
      </c>
      <c r="E99">
        <v>152</v>
      </c>
      <c r="F99">
        <v>8.1</v>
      </c>
      <c r="G99">
        <v>4.7</v>
      </c>
      <c r="H99">
        <v>16</v>
      </c>
      <c r="I99" s="9">
        <v>166</v>
      </c>
      <c r="J99" t="s">
        <v>98</v>
      </c>
      <c r="K99" s="9">
        <v>2000</v>
      </c>
      <c r="L99" s="10">
        <v>0.22</v>
      </c>
      <c r="M99" t="s">
        <v>334</v>
      </c>
      <c r="N99" t="s">
        <v>94</v>
      </c>
    </row>
    <row r="100" spans="1:14" ht="14.5" x14ac:dyDescent="0.35">
      <c r="A100" t="s">
        <v>335</v>
      </c>
      <c r="B100" t="s">
        <v>264</v>
      </c>
      <c r="C100" t="s">
        <v>92</v>
      </c>
      <c r="D100">
        <v>226</v>
      </c>
      <c r="E100">
        <v>116</v>
      </c>
      <c r="F100">
        <v>3.7</v>
      </c>
      <c r="G100">
        <v>2.1</v>
      </c>
      <c r="H100">
        <v>27</v>
      </c>
      <c r="I100" s="9">
        <v>787</v>
      </c>
      <c r="J100" t="s">
        <v>110</v>
      </c>
      <c r="K100" s="9">
        <v>3000</v>
      </c>
      <c r="L100" s="10">
        <v>0.22</v>
      </c>
      <c r="M100" t="s">
        <v>316</v>
      </c>
      <c r="N100" t="s">
        <v>94</v>
      </c>
    </row>
    <row r="101" spans="1:14" ht="14.5" x14ac:dyDescent="0.35">
      <c r="A101" t="s">
        <v>336</v>
      </c>
      <c r="B101" t="s">
        <v>337</v>
      </c>
      <c r="C101" t="s">
        <v>97</v>
      </c>
      <c r="D101">
        <v>199</v>
      </c>
      <c r="E101">
        <v>421</v>
      </c>
      <c r="F101">
        <v>10</v>
      </c>
      <c r="G101">
        <v>5.2</v>
      </c>
      <c r="H101">
        <v>29</v>
      </c>
      <c r="I101" s="9">
        <v>470</v>
      </c>
      <c r="J101" t="s">
        <v>98</v>
      </c>
      <c r="K101" s="9">
        <v>2000</v>
      </c>
      <c r="L101" s="10">
        <v>0.2</v>
      </c>
      <c r="M101" t="s">
        <v>103</v>
      </c>
      <c r="N101" t="s">
        <v>81</v>
      </c>
    </row>
    <row r="102" spans="1:14" ht="14.5" x14ac:dyDescent="0.35">
      <c r="A102" t="s">
        <v>338</v>
      </c>
      <c r="B102" t="s">
        <v>226</v>
      </c>
      <c r="C102" t="s">
        <v>78</v>
      </c>
      <c r="D102">
        <v>36</v>
      </c>
      <c r="E102">
        <v>568</v>
      </c>
      <c r="F102">
        <v>27.1</v>
      </c>
      <c r="G102">
        <v>9.1</v>
      </c>
      <c r="H102">
        <v>24</v>
      </c>
      <c r="I102" s="9">
        <v>676</v>
      </c>
      <c r="J102" t="s">
        <v>123</v>
      </c>
      <c r="K102" s="9">
        <v>2500</v>
      </c>
      <c r="L102" s="10">
        <v>0.24</v>
      </c>
      <c r="M102" t="s">
        <v>147</v>
      </c>
      <c r="N102" t="s">
        <v>94</v>
      </c>
    </row>
    <row r="103" spans="1:14" ht="14.5" x14ac:dyDescent="0.35">
      <c r="A103" t="s">
        <v>339</v>
      </c>
      <c r="B103" t="s">
        <v>170</v>
      </c>
      <c r="C103" t="s">
        <v>88</v>
      </c>
      <c r="D103">
        <v>437</v>
      </c>
      <c r="E103">
        <v>292</v>
      </c>
      <c r="F103">
        <v>8.1</v>
      </c>
      <c r="G103">
        <v>2.7</v>
      </c>
      <c r="H103">
        <v>25</v>
      </c>
      <c r="I103" s="9">
        <v>692</v>
      </c>
      <c r="J103" t="s">
        <v>98</v>
      </c>
      <c r="K103" s="9">
        <v>2500</v>
      </c>
      <c r="L103" s="10">
        <v>0.19</v>
      </c>
      <c r="M103" t="s">
        <v>340</v>
      </c>
      <c r="N103" t="s">
        <v>94</v>
      </c>
    </row>
    <row r="104" spans="1:14" ht="14.5" x14ac:dyDescent="0.35">
      <c r="A104" t="s">
        <v>341</v>
      </c>
      <c r="B104" t="s">
        <v>342</v>
      </c>
      <c r="C104" t="s">
        <v>92</v>
      </c>
      <c r="D104">
        <v>452</v>
      </c>
      <c r="E104">
        <v>218</v>
      </c>
      <c r="F104">
        <v>5.2</v>
      </c>
      <c r="G104">
        <v>2.9</v>
      </c>
      <c r="H104">
        <v>29</v>
      </c>
      <c r="I104" s="9">
        <v>542</v>
      </c>
      <c r="J104" t="s">
        <v>123</v>
      </c>
      <c r="K104" s="9">
        <v>2000</v>
      </c>
      <c r="L104" s="10">
        <v>0.23</v>
      </c>
      <c r="M104" t="s">
        <v>343</v>
      </c>
      <c r="N104" t="s">
        <v>100</v>
      </c>
    </row>
    <row r="105" spans="1:14" ht="14.5" x14ac:dyDescent="0.35">
      <c r="A105" t="s">
        <v>344</v>
      </c>
      <c r="B105" t="s">
        <v>345</v>
      </c>
      <c r="C105" t="s">
        <v>88</v>
      </c>
      <c r="D105">
        <v>546</v>
      </c>
      <c r="E105">
        <v>358</v>
      </c>
      <c r="F105">
        <v>28.3</v>
      </c>
      <c r="G105">
        <v>12.4</v>
      </c>
      <c r="H105">
        <v>11</v>
      </c>
      <c r="I105" s="9">
        <v>142</v>
      </c>
      <c r="J105" t="s">
        <v>79</v>
      </c>
      <c r="K105" s="9">
        <v>2500</v>
      </c>
      <c r="L105" s="10">
        <v>0.21</v>
      </c>
      <c r="M105" t="s">
        <v>332</v>
      </c>
      <c r="N105" t="s">
        <v>81</v>
      </c>
    </row>
    <row r="106" spans="1:14" ht="14.5" x14ac:dyDescent="0.35">
      <c r="A106" t="s">
        <v>346</v>
      </c>
      <c r="B106" t="s">
        <v>168</v>
      </c>
      <c r="C106" t="s">
        <v>106</v>
      </c>
      <c r="D106">
        <v>456</v>
      </c>
      <c r="E106">
        <v>684</v>
      </c>
      <c r="F106">
        <v>17.5</v>
      </c>
      <c r="G106">
        <v>3.8</v>
      </c>
      <c r="H106">
        <v>27</v>
      </c>
      <c r="I106" s="9">
        <v>287</v>
      </c>
      <c r="J106" t="s">
        <v>79</v>
      </c>
      <c r="K106" s="9">
        <v>1500</v>
      </c>
      <c r="L106" s="10">
        <v>0.21</v>
      </c>
      <c r="M106" t="s">
        <v>318</v>
      </c>
      <c r="N106" t="s">
        <v>81</v>
      </c>
    </row>
    <row r="107" spans="1:14" ht="14.5" x14ac:dyDescent="0.35">
      <c r="A107" t="s">
        <v>347</v>
      </c>
      <c r="B107" t="s">
        <v>270</v>
      </c>
      <c r="C107" t="s">
        <v>92</v>
      </c>
      <c r="D107">
        <v>356</v>
      </c>
      <c r="E107">
        <v>44</v>
      </c>
      <c r="F107">
        <v>10.7</v>
      </c>
      <c r="G107">
        <v>5.6</v>
      </c>
      <c r="H107">
        <v>3</v>
      </c>
      <c r="I107" s="9">
        <v>688</v>
      </c>
      <c r="J107" t="s">
        <v>110</v>
      </c>
      <c r="K107" s="9">
        <v>2500</v>
      </c>
      <c r="L107" s="10">
        <v>0.24</v>
      </c>
      <c r="M107" t="s">
        <v>348</v>
      </c>
      <c r="N107" t="s">
        <v>94</v>
      </c>
    </row>
    <row r="108" spans="1:14" ht="14.5" x14ac:dyDescent="0.35">
      <c r="A108" t="s">
        <v>349</v>
      </c>
      <c r="B108" t="s">
        <v>350</v>
      </c>
      <c r="C108" t="s">
        <v>106</v>
      </c>
      <c r="D108">
        <v>402</v>
      </c>
      <c r="E108">
        <v>159</v>
      </c>
      <c r="F108">
        <v>16.399999999999999</v>
      </c>
      <c r="G108">
        <v>7.9</v>
      </c>
      <c r="H108">
        <v>12</v>
      </c>
      <c r="I108" s="9">
        <v>52</v>
      </c>
      <c r="J108" t="s">
        <v>79</v>
      </c>
      <c r="K108" s="9">
        <v>2500</v>
      </c>
      <c r="L108" s="10">
        <v>0.24</v>
      </c>
      <c r="M108" t="s">
        <v>239</v>
      </c>
      <c r="N108" t="s">
        <v>94</v>
      </c>
    </row>
    <row r="109" spans="1:14" ht="14.5" x14ac:dyDescent="0.35">
      <c r="A109" t="s">
        <v>351</v>
      </c>
      <c r="B109" t="s">
        <v>352</v>
      </c>
      <c r="C109" t="s">
        <v>88</v>
      </c>
      <c r="D109">
        <v>384</v>
      </c>
      <c r="E109">
        <v>96</v>
      </c>
      <c r="F109">
        <v>4</v>
      </c>
      <c r="G109">
        <v>1.3</v>
      </c>
      <c r="H109">
        <v>28</v>
      </c>
      <c r="I109" s="9">
        <v>156</v>
      </c>
      <c r="J109" t="s">
        <v>98</v>
      </c>
      <c r="K109" s="9">
        <v>1500</v>
      </c>
      <c r="L109" s="10">
        <v>0.2</v>
      </c>
      <c r="M109" t="s">
        <v>176</v>
      </c>
      <c r="N109" t="s">
        <v>100</v>
      </c>
    </row>
    <row r="110" spans="1:14" ht="14.5" x14ac:dyDescent="0.35">
      <c r="A110" t="s">
        <v>353</v>
      </c>
      <c r="B110" t="s">
        <v>354</v>
      </c>
      <c r="C110" t="s">
        <v>106</v>
      </c>
      <c r="D110">
        <v>2</v>
      </c>
      <c r="E110">
        <v>179</v>
      </c>
      <c r="F110">
        <v>10</v>
      </c>
      <c r="G110">
        <v>3.8</v>
      </c>
      <c r="H110">
        <v>17</v>
      </c>
      <c r="I110" s="9">
        <v>50</v>
      </c>
      <c r="J110" t="s">
        <v>79</v>
      </c>
      <c r="K110" s="9">
        <v>2000</v>
      </c>
      <c r="L110" s="10">
        <v>0.21</v>
      </c>
      <c r="M110" t="s">
        <v>355</v>
      </c>
      <c r="N110" t="s">
        <v>94</v>
      </c>
    </row>
    <row r="111" spans="1:14" ht="14.5" x14ac:dyDescent="0.35">
      <c r="A111" t="s">
        <v>356</v>
      </c>
      <c r="B111" t="s">
        <v>221</v>
      </c>
      <c r="C111" t="s">
        <v>97</v>
      </c>
      <c r="D111">
        <v>465</v>
      </c>
      <c r="E111">
        <v>208</v>
      </c>
      <c r="F111">
        <v>9.4</v>
      </c>
      <c r="G111">
        <v>2.2000000000000002</v>
      </c>
      <c r="H111">
        <v>16</v>
      </c>
      <c r="I111" s="9">
        <v>537</v>
      </c>
      <c r="J111" t="s">
        <v>98</v>
      </c>
      <c r="K111" s="9">
        <v>2500</v>
      </c>
      <c r="L111" s="10">
        <v>0.21</v>
      </c>
      <c r="M111" t="s">
        <v>144</v>
      </c>
      <c r="N111" t="s">
        <v>94</v>
      </c>
    </row>
    <row r="112" spans="1:14" ht="14.5" x14ac:dyDescent="0.35">
      <c r="A112" t="s">
        <v>357</v>
      </c>
      <c r="B112" t="s">
        <v>345</v>
      </c>
      <c r="C112" t="s">
        <v>88</v>
      </c>
      <c r="D112">
        <v>551</v>
      </c>
      <c r="E112">
        <v>209</v>
      </c>
      <c r="F112">
        <v>10.199999999999999</v>
      </c>
      <c r="G112">
        <v>4.3</v>
      </c>
      <c r="H112">
        <v>21</v>
      </c>
      <c r="I112" s="9">
        <v>169</v>
      </c>
      <c r="J112" t="s">
        <v>79</v>
      </c>
      <c r="K112" s="9">
        <v>2000</v>
      </c>
      <c r="L112" s="10">
        <v>0.19</v>
      </c>
      <c r="M112" t="s">
        <v>318</v>
      </c>
      <c r="N112" t="s">
        <v>94</v>
      </c>
    </row>
    <row r="113" spans="1:14" ht="14.5" x14ac:dyDescent="0.35">
      <c r="A113" t="s">
        <v>358</v>
      </c>
      <c r="B113" t="s">
        <v>187</v>
      </c>
      <c r="C113" t="s">
        <v>78</v>
      </c>
      <c r="D113">
        <v>352</v>
      </c>
      <c r="E113">
        <v>78</v>
      </c>
      <c r="F113">
        <v>4.8</v>
      </c>
      <c r="G113">
        <v>1.3</v>
      </c>
      <c r="H113">
        <v>20</v>
      </c>
      <c r="I113" s="9">
        <v>2362</v>
      </c>
      <c r="J113" t="s">
        <v>110</v>
      </c>
      <c r="K113" s="9">
        <v>2500</v>
      </c>
      <c r="L113" s="10">
        <v>0.19</v>
      </c>
      <c r="M113" t="s">
        <v>242</v>
      </c>
      <c r="N113" t="s">
        <v>100</v>
      </c>
    </row>
    <row r="114" spans="1:14" ht="14.5" x14ac:dyDescent="0.35">
      <c r="A114" t="s">
        <v>359</v>
      </c>
      <c r="B114" t="s">
        <v>360</v>
      </c>
      <c r="C114" t="s">
        <v>78</v>
      </c>
      <c r="D114">
        <v>173</v>
      </c>
      <c r="E114">
        <v>122</v>
      </c>
      <c r="F114">
        <v>5.3</v>
      </c>
      <c r="G114">
        <v>2.1</v>
      </c>
      <c r="H114">
        <v>26</v>
      </c>
      <c r="I114" s="9">
        <v>1279</v>
      </c>
      <c r="J114" t="s">
        <v>98</v>
      </c>
      <c r="K114" s="9">
        <v>1500</v>
      </c>
      <c r="L114" s="10">
        <v>0.2</v>
      </c>
      <c r="M114" t="s">
        <v>300</v>
      </c>
      <c r="N114" t="s">
        <v>100</v>
      </c>
    </row>
    <row r="115" spans="1:14" ht="14.5" x14ac:dyDescent="0.35">
      <c r="A115" t="s">
        <v>361</v>
      </c>
      <c r="B115" t="s">
        <v>201</v>
      </c>
      <c r="C115" t="s">
        <v>97</v>
      </c>
      <c r="D115">
        <v>282</v>
      </c>
      <c r="E115">
        <v>314</v>
      </c>
      <c r="F115">
        <v>19.399999999999999</v>
      </c>
      <c r="G115">
        <v>4.7</v>
      </c>
      <c r="H115">
        <v>13</v>
      </c>
      <c r="I115" s="9">
        <v>1494</v>
      </c>
      <c r="J115" t="s">
        <v>123</v>
      </c>
      <c r="K115" s="9">
        <v>2500</v>
      </c>
      <c r="L115" s="10">
        <v>0.19</v>
      </c>
      <c r="M115" t="s">
        <v>362</v>
      </c>
      <c r="N115" t="s">
        <v>81</v>
      </c>
    </row>
    <row r="116" spans="1:14" ht="14.5" x14ac:dyDescent="0.35">
      <c r="A116" t="s">
        <v>363</v>
      </c>
      <c r="B116" t="s">
        <v>364</v>
      </c>
      <c r="C116" t="s">
        <v>92</v>
      </c>
      <c r="D116">
        <v>535</v>
      </c>
      <c r="E116">
        <v>194</v>
      </c>
      <c r="F116">
        <v>22.1</v>
      </c>
      <c r="G116">
        <v>7.2</v>
      </c>
      <c r="H116">
        <v>8</v>
      </c>
      <c r="I116" s="9">
        <v>508</v>
      </c>
      <c r="J116" t="s">
        <v>110</v>
      </c>
      <c r="K116" s="9">
        <v>2000</v>
      </c>
      <c r="L116" s="10">
        <v>0.24</v>
      </c>
      <c r="M116" t="s">
        <v>365</v>
      </c>
      <c r="N116" t="s">
        <v>100</v>
      </c>
    </row>
    <row r="117" spans="1:14" ht="14.5" x14ac:dyDescent="0.35">
      <c r="A117" t="s">
        <v>366</v>
      </c>
      <c r="B117" t="s">
        <v>367</v>
      </c>
      <c r="C117" t="s">
        <v>106</v>
      </c>
      <c r="D117">
        <v>117</v>
      </c>
      <c r="E117">
        <v>56</v>
      </c>
      <c r="F117">
        <v>13</v>
      </c>
      <c r="G117">
        <v>5.2</v>
      </c>
      <c r="H117">
        <v>3</v>
      </c>
      <c r="I117" s="9">
        <v>136</v>
      </c>
      <c r="J117" t="s">
        <v>79</v>
      </c>
      <c r="K117" s="9">
        <v>2500</v>
      </c>
      <c r="L117" s="10">
        <v>0.25</v>
      </c>
      <c r="M117" t="s">
        <v>288</v>
      </c>
      <c r="N117" t="s">
        <v>100</v>
      </c>
    </row>
    <row r="118" spans="1:14" ht="14.5" x14ac:dyDescent="0.35">
      <c r="A118" t="s">
        <v>368</v>
      </c>
      <c r="B118" t="s">
        <v>369</v>
      </c>
      <c r="C118" t="s">
        <v>92</v>
      </c>
      <c r="D118">
        <v>257</v>
      </c>
      <c r="E118">
        <v>351</v>
      </c>
      <c r="F118">
        <v>16.399999999999999</v>
      </c>
      <c r="G118">
        <v>8.4</v>
      </c>
      <c r="H118">
        <v>20</v>
      </c>
      <c r="I118" s="9">
        <v>402</v>
      </c>
      <c r="J118" t="s">
        <v>84</v>
      </c>
      <c r="K118" s="9">
        <v>2000</v>
      </c>
      <c r="L118" s="10">
        <v>0.19</v>
      </c>
      <c r="M118" t="s">
        <v>302</v>
      </c>
      <c r="N118" t="s">
        <v>100</v>
      </c>
    </row>
    <row r="119" spans="1:14" ht="14.5" x14ac:dyDescent="0.35">
      <c r="A119" t="s">
        <v>370</v>
      </c>
      <c r="B119" t="s">
        <v>184</v>
      </c>
      <c r="C119" t="s">
        <v>97</v>
      </c>
      <c r="D119">
        <v>84</v>
      </c>
      <c r="E119">
        <v>399</v>
      </c>
      <c r="F119">
        <v>14.1</v>
      </c>
      <c r="G119">
        <v>6.1</v>
      </c>
      <c r="H119">
        <v>23</v>
      </c>
      <c r="I119" s="9">
        <v>1029</v>
      </c>
      <c r="J119" t="s">
        <v>84</v>
      </c>
      <c r="K119" s="9">
        <v>2500</v>
      </c>
      <c r="L119" s="10">
        <v>0.21</v>
      </c>
      <c r="M119" t="s">
        <v>277</v>
      </c>
      <c r="N119" t="s">
        <v>94</v>
      </c>
    </row>
    <row r="120" spans="1:14" ht="14.5" x14ac:dyDescent="0.35">
      <c r="A120" t="s">
        <v>371</v>
      </c>
      <c r="B120" t="s">
        <v>372</v>
      </c>
      <c r="C120" t="s">
        <v>106</v>
      </c>
      <c r="D120">
        <v>270</v>
      </c>
      <c r="E120">
        <v>35</v>
      </c>
      <c r="F120">
        <v>8.3000000000000007</v>
      </c>
      <c r="G120">
        <v>1.9</v>
      </c>
      <c r="H120">
        <v>5</v>
      </c>
      <c r="I120" s="9">
        <v>56</v>
      </c>
      <c r="J120" t="s">
        <v>98</v>
      </c>
      <c r="K120" s="9">
        <v>1500</v>
      </c>
      <c r="L120" s="10">
        <v>0.23</v>
      </c>
      <c r="M120" t="s">
        <v>114</v>
      </c>
      <c r="N120" t="s">
        <v>100</v>
      </c>
    </row>
    <row r="121" spans="1:14" ht="14.5" x14ac:dyDescent="0.35">
      <c r="A121" t="s">
        <v>373</v>
      </c>
      <c r="B121" t="s">
        <v>374</v>
      </c>
      <c r="C121" t="s">
        <v>106</v>
      </c>
      <c r="D121">
        <v>270</v>
      </c>
      <c r="E121">
        <v>278</v>
      </c>
      <c r="F121">
        <v>15.1</v>
      </c>
      <c r="G121">
        <v>4</v>
      </c>
      <c r="H121">
        <v>19</v>
      </c>
      <c r="I121" s="9">
        <v>211</v>
      </c>
      <c r="J121" t="s">
        <v>123</v>
      </c>
      <c r="K121" s="9">
        <v>2500</v>
      </c>
      <c r="L121" s="10">
        <v>0.19</v>
      </c>
      <c r="M121" t="s">
        <v>111</v>
      </c>
      <c r="N121" t="s">
        <v>94</v>
      </c>
    </row>
    <row r="122" spans="1:14" ht="14.5" x14ac:dyDescent="0.35">
      <c r="A122" t="s">
        <v>375</v>
      </c>
      <c r="B122" t="s">
        <v>345</v>
      </c>
      <c r="C122" t="s">
        <v>88</v>
      </c>
      <c r="D122">
        <v>163</v>
      </c>
      <c r="E122">
        <v>44</v>
      </c>
      <c r="F122">
        <v>2.7</v>
      </c>
      <c r="G122">
        <v>1</v>
      </c>
      <c r="H122">
        <v>14</v>
      </c>
      <c r="I122" s="9">
        <v>167</v>
      </c>
      <c r="J122" t="s">
        <v>79</v>
      </c>
      <c r="K122" s="9">
        <v>2500</v>
      </c>
      <c r="L122" s="10">
        <v>0.23</v>
      </c>
      <c r="M122" t="s">
        <v>376</v>
      </c>
      <c r="N122" t="s">
        <v>94</v>
      </c>
    </row>
    <row r="123" spans="1:14" ht="14.5" x14ac:dyDescent="0.35">
      <c r="A123" t="s">
        <v>377</v>
      </c>
      <c r="B123" t="s">
        <v>378</v>
      </c>
      <c r="C123" t="s">
        <v>88</v>
      </c>
      <c r="D123">
        <v>589</v>
      </c>
      <c r="E123">
        <v>460</v>
      </c>
      <c r="F123">
        <v>14.5</v>
      </c>
      <c r="G123">
        <v>6.2</v>
      </c>
      <c r="H123">
        <v>25</v>
      </c>
      <c r="I123" s="9">
        <v>159</v>
      </c>
      <c r="J123" t="s">
        <v>84</v>
      </c>
      <c r="K123" s="9">
        <v>1500</v>
      </c>
      <c r="L123" s="10">
        <v>0.21</v>
      </c>
      <c r="M123" t="s">
        <v>365</v>
      </c>
      <c r="N123" t="s">
        <v>100</v>
      </c>
    </row>
    <row r="124" spans="1:14" ht="14.5" x14ac:dyDescent="0.35">
      <c r="A124" t="s">
        <v>379</v>
      </c>
      <c r="B124" t="s">
        <v>380</v>
      </c>
      <c r="C124" t="s">
        <v>97</v>
      </c>
      <c r="D124">
        <v>559</v>
      </c>
      <c r="E124">
        <v>338</v>
      </c>
      <c r="F124">
        <v>18.5</v>
      </c>
      <c r="G124">
        <v>9.6</v>
      </c>
      <c r="H124">
        <v>15</v>
      </c>
      <c r="I124" s="9">
        <v>1351</v>
      </c>
      <c r="J124" t="s">
        <v>123</v>
      </c>
      <c r="K124" s="9">
        <v>3000</v>
      </c>
      <c r="L124" s="10">
        <v>0.18</v>
      </c>
      <c r="M124" t="s">
        <v>197</v>
      </c>
      <c r="N124" t="s">
        <v>81</v>
      </c>
    </row>
    <row r="125" spans="1:14" ht="14.5" x14ac:dyDescent="0.35">
      <c r="A125" t="s">
        <v>381</v>
      </c>
      <c r="B125" t="s">
        <v>382</v>
      </c>
      <c r="C125" t="s">
        <v>97</v>
      </c>
      <c r="D125">
        <v>431</v>
      </c>
      <c r="E125">
        <v>267</v>
      </c>
      <c r="F125">
        <v>10.1</v>
      </c>
      <c r="G125">
        <v>4.3</v>
      </c>
      <c r="H125">
        <v>18</v>
      </c>
      <c r="I125" s="9">
        <v>968</v>
      </c>
      <c r="J125" t="s">
        <v>110</v>
      </c>
      <c r="K125" s="9">
        <v>2000</v>
      </c>
      <c r="L125" s="10">
        <v>0.23</v>
      </c>
      <c r="M125" t="s">
        <v>383</v>
      </c>
      <c r="N125" t="s">
        <v>81</v>
      </c>
    </row>
    <row r="126" spans="1:14" ht="14.5" x14ac:dyDescent="0.35">
      <c r="A126" t="s">
        <v>384</v>
      </c>
      <c r="B126" t="s">
        <v>385</v>
      </c>
      <c r="C126" t="s">
        <v>92</v>
      </c>
      <c r="D126">
        <v>529</v>
      </c>
      <c r="E126">
        <v>54</v>
      </c>
      <c r="F126">
        <v>2.9</v>
      </c>
      <c r="G126">
        <v>0.7</v>
      </c>
      <c r="H126">
        <v>17</v>
      </c>
      <c r="I126" s="9">
        <v>650</v>
      </c>
      <c r="J126" t="s">
        <v>98</v>
      </c>
      <c r="K126" s="9">
        <v>2000</v>
      </c>
      <c r="L126" s="10">
        <v>0.19</v>
      </c>
      <c r="M126" t="s">
        <v>386</v>
      </c>
      <c r="N126" t="s">
        <v>100</v>
      </c>
    </row>
    <row r="127" spans="1:14" ht="14.5" x14ac:dyDescent="0.35">
      <c r="A127" t="s">
        <v>387</v>
      </c>
      <c r="B127" t="s">
        <v>136</v>
      </c>
      <c r="C127" t="s">
        <v>88</v>
      </c>
      <c r="D127">
        <v>109</v>
      </c>
      <c r="E127">
        <v>123</v>
      </c>
      <c r="F127">
        <v>6.9</v>
      </c>
      <c r="G127">
        <v>2.2000000000000002</v>
      </c>
      <c r="H127">
        <v>16</v>
      </c>
      <c r="I127" s="9">
        <v>229</v>
      </c>
      <c r="J127" t="s">
        <v>110</v>
      </c>
      <c r="K127" s="9">
        <v>2500</v>
      </c>
      <c r="L127" s="10">
        <v>0.19</v>
      </c>
      <c r="M127" t="s">
        <v>300</v>
      </c>
      <c r="N127" t="s">
        <v>100</v>
      </c>
    </row>
    <row r="128" spans="1:14" ht="14.5" x14ac:dyDescent="0.35">
      <c r="A128" t="s">
        <v>388</v>
      </c>
      <c r="B128" t="s">
        <v>389</v>
      </c>
      <c r="C128" t="s">
        <v>78</v>
      </c>
      <c r="D128">
        <v>112</v>
      </c>
      <c r="E128">
        <v>454</v>
      </c>
      <c r="F128">
        <v>19.399999999999999</v>
      </c>
      <c r="G128">
        <v>9.3000000000000007</v>
      </c>
      <c r="H128">
        <v>25</v>
      </c>
      <c r="I128" s="9">
        <v>1611</v>
      </c>
      <c r="J128" t="s">
        <v>84</v>
      </c>
      <c r="K128" s="9">
        <v>2000</v>
      </c>
      <c r="L128" s="10">
        <v>0.22</v>
      </c>
      <c r="M128" t="s">
        <v>171</v>
      </c>
      <c r="N128" t="s">
        <v>94</v>
      </c>
    </row>
    <row r="129" spans="1:14" ht="14.5" x14ac:dyDescent="0.35">
      <c r="A129" t="s">
        <v>390</v>
      </c>
      <c r="B129" t="s">
        <v>323</v>
      </c>
      <c r="C129" t="s">
        <v>88</v>
      </c>
      <c r="D129">
        <v>335</v>
      </c>
      <c r="E129">
        <v>414</v>
      </c>
      <c r="F129">
        <v>13</v>
      </c>
      <c r="G129">
        <v>5.7</v>
      </c>
      <c r="H129">
        <v>22</v>
      </c>
      <c r="I129" s="9">
        <v>202</v>
      </c>
      <c r="J129" t="s">
        <v>79</v>
      </c>
      <c r="K129" s="9">
        <v>2000</v>
      </c>
      <c r="L129" s="10">
        <v>0.22</v>
      </c>
      <c r="M129" t="s">
        <v>391</v>
      </c>
      <c r="N129" t="s">
        <v>100</v>
      </c>
    </row>
    <row r="130" spans="1:14" ht="14.5" x14ac:dyDescent="0.35">
      <c r="A130" t="s">
        <v>392</v>
      </c>
      <c r="B130" t="s">
        <v>369</v>
      </c>
      <c r="C130" t="s">
        <v>92</v>
      </c>
      <c r="D130">
        <v>539</v>
      </c>
      <c r="E130">
        <v>188</v>
      </c>
      <c r="F130">
        <v>5.3</v>
      </c>
      <c r="G130">
        <v>2.1</v>
      </c>
      <c r="H130">
        <v>24</v>
      </c>
      <c r="I130" s="9">
        <v>353</v>
      </c>
      <c r="J130" t="s">
        <v>79</v>
      </c>
      <c r="K130" s="9">
        <v>1500</v>
      </c>
      <c r="L130" s="10">
        <v>0.2</v>
      </c>
      <c r="M130" t="s">
        <v>383</v>
      </c>
      <c r="N130" t="s">
        <v>81</v>
      </c>
    </row>
    <row r="131" spans="1:14" ht="14.5" x14ac:dyDescent="0.35">
      <c r="A131" t="s">
        <v>393</v>
      </c>
      <c r="B131" t="s">
        <v>229</v>
      </c>
      <c r="C131" t="s">
        <v>97</v>
      </c>
      <c r="D131">
        <v>161</v>
      </c>
      <c r="E131">
        <v>56</v>
      </c>
      <c r="F131">
        <v>8.9</v>
      </c>
      <c r="G131">
        <v>2.7</v>
      </c>
      <c r="H131">
        <v>5</v>
      </c>
      <c r="I131" s="9">
        <v>485</v>
      </c>
      <c r="J131" t="s">
        <v>123</v>
      </c>
      <c r="K131" s="9">
        <v>2000</v>
      </c>
      <c r="L131" s="10">
        <v>0.23</v>
      </c>
      <c r="M131" t="s">
        <v>376</v>
      </c>
      <c r="N131" t="s">
        <v>81</v>
      </c>
    </row>
    <row r="132" spans="1:14" ht="14.5" x14ac:dyDescent="0.35">
      <c r="A132" t="s">
        <v>394</v>
      </c>
      <c r="B132" t="s">
        <v>395</v>
      </c>
      <c r="C132" t="s">
        <v>97</v>
      </c>
      <c r="D132">
        <v>39</v>
      </c>
      <c r="E132">
        <v>118</v>
      </c>
      <c r="F132">
        <v>8.3000000000000007</v>
      </c>
      <c r="G132">
        <v>2.6</v>
      </c>
      <c r="H132">
        <v>15</v>
      </c>
      <c r="I132" s="9">
        <v>625</v>
      </c>
      <c r="J132" t="s">
        <v>98</v>
      </c>
      <c r="K132" s="9">
        <v>1500</v>
      </c>
      <c r="L132" s="10">
        <v>0.19</v>
      </c>
      <c r="M132" t="s">
        <v>247</v>
      </c>
      <c r="N132" t="s">
        <v>81</v>
      </c>
    </row>
    <row r="133" spans="1:14" ht="14.5" x14ac:dyDescent="0.35">
      <c r="A133" t="s">
        <v>396</v>
      </c>
      <c r="B133" t="s">
        <v>397</v>
      </c>
      <c r="C133" t="s">
        <v>88</v>
      </c>
      <c r="D133">
        <v>75</v>
      </c>
      <c r="E133">
        <v>537</v>
      </c>
      <c r="F133">
        <v>15.7</v>
      </c>
      <c r="G133">
        <v>6.5</v>
      </c>
      <c r="H133">
        <v>24</v>
      </c>
      <c r="I133" s="9">
        <v>156</v>
      </c>
      <c r="J133" t="s">
        <v>79</v>
      </c>
      <c r="K133" s="9">
        <v>2500</v>
      </c>
      <c r="L133" s="10">
        <v>0.2</v>
      </c>
      <c r="M133" t="s">
        <v>131</v>
      </c>
      <c r="N133" t="s">
        <v>94</v>
      </c>
    </row>
    <row r="134" spans="1:14" ht="14.5" x14ac:dyDescent="0.35">
      <c r="A134" t="s">
        <v>398</v>
      </c>
      <c r="B134" t="s">
        <v>399</v>
      </c>
      <c r="C134" t="s">
        <v>97</v>
      </c>
      <c r="D134">
        <v>220</v>
      </c>
      <c r="E134">
        <v>99</v>
      </c>
      <c r="F134">
        <v>3.3</v>
      </c>
      <c r="G134">
        <v>1.2</v>
      </c>
      <c r="H134">
        <v>23</v>
      </c>
      <c r="I134" s="9">
        <v>1724</v>
      </c>
      <c r="J134" t="s">
        <v>123</v>
      </c>
      <c r="K134" s="9">
        <v>1500</v>
      </c>
      <c r="L134" s="10">
        <v>0.23</v>
      </c>
      <c r="M134" t="s">
        <v>400</v>
      </c>
      <c r="N134" t="s">
        <v>81</v>
      </c>
    </row>
    <row r="135" spans="1:14" ht="14.5" x14ac:dyDescent="0.35">
      <c r="A135" t="s">
        <v>401</v>
      </c>
      <c r="B135" t="s">
        <v>402</v>
      </c>
      <c r="C135" t="s">
        <v>88</v>
      </c>
      <c r="D135">
        <v>561</v>
      </c>
      <c r="E135">
        <v>97</v>
      </c>
      <c r="F135">
        <v>5.0999999999999996</v>
      </c>
      <c r="G135">
        <v>1.4</v>
      </c>
      <c r="H135">
        <v>17</v>
      </c>
      <c r="I135" s="9">
        <v>578</v>
      </c>
      <c r="J135" t="s">
        <v>79</v>
      </c>
      <c r="K135" s="9">
        <v>1500</v>
      </c>
      <c r="L135" s="10">
        <v>0.23</v>
      </c>
      <c r="M135" t="s">
        <v>403</v>
      </c>
      <c r="N135" t="s">
        <v>100</v>
      </c>
    </row>
    <row r="136" spans="1:14" ht="14.5" x14ac:dyDescent="0.35">
      <c r="A136" t="s">
        <v>404</v>
      </c>
      <c r="B136" t="s">
        <v>405</v>
      </c>
      <c r="C136" t="s">
        <v>97</v>
      </c>
      <c r="D136">
        <v>262</v>
      </c>
      <c r="E136">
        <v>152</v>
      </c>
      <c r="F136">
        <v>16.5</v>
      </c>
      <c r="G136">
        <v>3.4</v>
      </c>
      <c r="H136">
        <v>10</v>
      </c>
      <c r="I136" s="9">
        <v>754</v>
      </c>
      <c r="J136" t="s">
        <v>123</v>
      </c>
      <c r="K136" s="9">
        <v>2000</v>
      </c>
      <c r="L136" s="10">
        <v>0.24</v>
      </c>
      <c r="M136" t="s">
        <v>224</v>
      </c>
      <c r="N136" t="s">
        <v>81</v>
      </c>
    </row>
    <row r="137" spans="1:14" ht="14.5" x14ac:dyDescent="0.35">
      <c r="A137" t="s">
        <v>406</v>
      </c>
      <c r="B137" t="s">
        <v>407</v>
      </c>
      <c r="C137" t="s">
        <v>92</v>
      </c>
      <c r="D137">
        <v>27</v>
      </c>
      <c r="E137">
        <v>149</v>
      </c>
      <c r="F137">
        <v>23.3</v>
      </c>
      <c r="G137">
        <v>11.5</v>
      </c>
      <c r="H137">
        <v>6</v>
      </c>
      <c r="I137" s="9">
        <v>363</v>
      </c>
      <c r="J137" t="s">
        <v>123</v>
      </c>
      <c r="K137" s="9">
        <v>2000</v>
      </c>
      <c r="L137" s="10">
        <v>0.25</v>
      </c>
      <c r="M137" t="s">
        <v>408</v>
      </c>
      <c r="N137" t="s">
        <v>81</v>
      </c>
    </row>
    <row r="138" spans="1:14" ht="14.5" x14ac:dyDescent="0.35">
      <c r="A138" t="s">
        <v>409</v>
      </c>
      <c r="B138" t="s">
        <v>410</v>
      </c>
      <c r="C138" t="s">
        <v>92</v>
      </c>
      <c r="D138">
        <v>325</v>
      </c>
      <c r="E138">
        <v>388</v>
      </c>
      <c r="F138">
        <v>17.100000000000001</v>
      </c>
      <c r="G138">
        <v>10</v>
      </c>
      <c r="H138">
        <v>21</v>
      </c>
      <c r="I138" s="9">
        <v>377</v>
      </c>
      <c r="J138" t="s">
        <v>123</v>
      </c>
      <c r="K138" s="9">
        <v>2000</v>
      </c>
      <c r="L138" s="10">
        <v>0.25</v>
      </c>
      <c r="M138" t="s">
        <v>249</v>
      </c>
      <c r="N138" t="s">
        <v>100</v>
      </c>
    </row>
    <row r="139" spans="1:14" ht="14.5" x14ac:dyDescent="0.35">
      <c r="A139" t="s">
        <v>411</v>
      </c>
      <c r="B139" t="s">
        <v>412</v>
      </c>
      <c r="C139" t="s">
        <v>92</v>
      </c>
      <c r="D139">
        <v>392</v>
      </c>
      <c r="E139">
        <v>299</v>
      </c>
      <c r="F139">
        <v>11.8</v>
      </c>
      <c r="G139">
        <v>6.4</v>
      </c>
      <c r="H139">
        <v>26</v>
      </c>
      <c r="I139" s="9">
        <v>486</v>
      </c>
      <c r="J139" t="s">
        <v>79</v>
      </c>
      <c r="K139" s="9">
        <v>1500</v>
      </c>
      <c r="L139" s="10">
        <v>0.22</v>
      </c>
      <c r="M139" t="s">
        <v>158</v>
      </c>
      <c r="N139" t="s">
        <v>81</v>
      </c>
    </row>
    <row r="140" spans="1:14" ht="14.5" x14ac:dyDescent="0.35">
      <c r="A140" t="s">
        <v>413</v>
      </c>
      <c r="B140" t="s">
        <v>414</v>
      </c>
      <c r="C140" t="s">
        <v>106</v>
      </c>
      <c r="D140">
        <v>552</v>
      </c>
      <c r="E140">
        <v>384</v>
      </c>
      <c r="F140">
        <v>14.7</v>
      </c>
      <c r="G140">
        <v>6.5</v>
      </c>
      <c r="H140">
        <v>26</v>
      </c>
      <c r="I140" s="9">
        <v>243</v>
      </c>
      <c r="J140" t="s">
        <v>123</v>
      </c>
      <c r="K140" s="9">
        <v>3000</v>
      </c>
      <c r="L140" s="10">
        <v>0.2</v>
      </c>
      <c r="M140" t="s">
        <v>147</v>
      </c>
      <c r="N140" t="s">
        <v>81</v>
      </c>
    </row>
    <row r="141" spans="1:14" ht="14.5" x14ac:dyDescent="0.35">
      <c r="A141" t="s">
        <v>415</v>
      </c>
      <c r="B141" t="s">
        <v>416</v>
      </c>
      <c r="C141" t="s">
        <v>88</v>
      </c>
      <c r="D141">
        <v>447</v>
      </c>
      <c r="E141">
        <v>189</v>
      </c>
      <c r="F141">
        <v>12.2</v>
      </c>
      <c r="G141">
        <v>6.1</v>
      </c>
      <c r="H141">
        <v>12</v>
      </c>
      <c r="I141" s="9">
        <v>583</v>
      </c>
      <c r="J141" t="s">
        <v>79</v>
      </c>
      <c r="K141" s="9">
        <v>3000</v>
      </c>
      <c r="L141" s="10">
        <v>0.22</v>
      </c>
      <c r="M141" t="s">
        <v>185</v>
      </c>
      <c r="N141" t="s">
        <v>81</v>
      </c>
    </row>
    <row r="142" spans="1:14" ht="14.5" x14ac:dyDescent="0.35">
      <c r="A142" t="s">
        <v>417</v>
      </c>
      <c r="B142" t="s">
        <v>418</v>
      </c>
      <c r="C142" t="s">
        <v>92</v>
      </c>
      <c r="D142">
        <v>151</v>
      </c>
      <c r="E142">
        <v>439</v>
      </c>
      <c r="F142">
        <v>14.5</v>
      </c>
      <c r="G142">
        <v>6.6</v>
      </c>
      <c r="H142">
        <v>29</v>
      </c>
      <c r="I142" s="9">
        <v>966</v>
      </c>
      <c r="J142" t="s">
        <v>84</v>
      </c>
      <c r="K142" s="9">
        <v>3000</v>
      </c>
      <c r="L142" s="10">
        <v>0.19</v>
      </c>
      <c r="M142" t="s">
        <v>419</v>
      </c>
      <c r="N142" t="s">
        <v>94</v>
      </c>
    </row>
    <row r="143" spans="1:14" ht="14.5" x14ac:dyDescent="0.35">
      <c r="A143" t="s">
        <v>420</v>
      </c>
      <c r="B143" t="s">
        <v>146</v>
      </c>
      <c r="C143" t="s">
        <v>88</v>
      </c>
      <c r="D143">
        <v>124</v>
      </c>
      <c r="E143">
        <v>70</v>
      </c>
      <c r="F143">
        <v>5.2</v>
      </c>
      <c r="G143">
        <v>3.1</v>
      </c>
      <c r="H143">
        <v>11</v>
      </c>
      <c r="I143" s="9">
        <v>74</v>
      </c>
      <c r="J143" t="s">
        <v>123</v>
      </c>
      <c r="K143" s="9">
        <v>3000</v>
      </c>
      <c r="L143" s="10">
        <v>0.24</v>
      </c>
      <c r="M143" t="s">
        <v>326</v>
      </c>
      <c r="N143" t="s">
        <v>94</v>
      </c>
    </row>
    <row r="144" spans="1:14" ht="14.5" x14ac:dyDescent="0.35">
      <c r="A144" t="s">
        <v>421</v>
      </c>
      <c r="B144" t="s">
        <v>295</v>
      </c>
      <c r="C144" t="s">
        <v>78</v>
      </c>
      <c r="D144">
        <v>226</v>
      </c>
      <c r="E144">
        <v>145</v>
      </c>
      <c r="F144">
        <v>6.9</v>
      </c>
      <c r="G144">
        <v>2.6</v>
      </c>
      <c r="H144">
        <v>15</v>
      </c>
      <c r="I144" s="9">
        <v>2137</v>
      </c>
      <c r="J144" t="s">
        <v>110</v>
      </c>
      <c r="K144" s="9">
        <v>2000</v>
      </c>
      <c r="L144" s="10">
        <v>0.18</v>
      </c>
      <c r="M144" t="s">
        <v>288</v>
      </c>
      <c r="N144" t="s">
        <v>100</v>
      </c>
    </row>
    <row r="145" spans="1:14" ht="14.5" x14ac:dyDescent="0.35">
      <c r="A145" t="s">
        <v>422</v>
      </c>
      <c r="B145" t="s">
        <v>136</v>
      </c>
      <c r="C145" t="s">
        <v>88</v>
      </c>
      <c r="D145">
        <v>436</v>
      </c>
      <c r="E145">
        <v>33</v>
      </c>
      <c r="F145">
        <v>6.9</v>
      </c>
      <c r="G145">
        <v>1.9</v>
      </c>
      <c r="H145">
        <v>6</v>
      </c>
      <c r="I145" s="9">
        <v>265</v>
      </c>
      <c r="J145" t="s">
        <v>84</v>
      </c>
      <c r="K145" s="9">
        <v>3000</v>
      </c>
      <c r="L145" s="10">
        <v>0.22</v>
      </c>
      <c r="M145" t="s">
        <v>423</v>
      </c>
      <c r="N145" t="s">
        <v>94</v>
      </c>
    </row>
    <row r="146" spans="1:14" ht="14.5" x14ac:dyDescent="0.35">
      <c r="A146" t="s">
        <v>424</v>
      </c>
      <c r="B146" t="s">
        <v>229</v>
      </c>
      <c r="C146" t="s">
        <v>97</v>
      </c>
      <c r="D146">
        <v>309</v>
      </c>
      <c r="E146">
        <v>122</v>
      </c>
      <c r="F146">
        <v>14.2</v>
      </c>
      <c r="G146">
        <v>3.2</v>
      </c>
      <c r="H146">
        <v>6</v>
      </c>
      <c r="I146" s="9">
        <v>482</v>
      </c>
      <c r="J146" t="s">
        <v>110</v>
      </c>
      <c r="K146" s="9">
        <v>1500</v>
      </c>
      <c r="L146" s="10">
        <v>0.25</v>
      </c>
      <c r="M146" t="s">
        <v>182</v>
      </c>
      <c r="N146" t="s">
        <v>81</v>
      </c>
    </row>
    <row r="147" spans="1:14" ht="14.5" x14ac:dyDescent="0.35">
      <c r="A147" t="s">
        <v>425</v>
      </c>
      <c r="B147" t="s">
        <v>372</v>
      </c>
      <c r="C147" t="s">
        <v>106</v>
      </c>
      <c r="D147">
        <v>305</v>
      </c>
      <c r="E147">
        <v>46</v>
      </c>
      <c r="F147">
        <v>6.4</v>
      </c>
      <c r="G147">
        <v>2.2000000000000002</v>
      </c>
      <c r="H147">
        <v>7</v>
      </c>
      <c r="I147" s="9">
        <v>61</v>
      </c>
      <c r="J147" t="s">
        <v>123</v>
      </c>
      <c r="K147" s="9">
        <v>2000</v>
      </c>
      <c r="L147" s="10">
        <v>0.19</v>
      </c>
      <c r="M147" t="s">
        <v>426</v>
      </c>
      <c r="N147" t="s">
        <v>81</v>
      </c>
    </row>
    <row r="148" spans="1:14" ht="14.5" x14ac:dyDescent="0.35">
      <c r="A148" t="s">
        <v>427</v>
      </c>
      <c r="B148" t="s">
        <v>428</v>
      </c>
      <c r="C148" t="s">
        <v>97</v>
      </c>
      <c r="D148">
        <v>374</v>
      </c>
      <c r="E148">
        <v>164</v>
      </c>
      <c r="F148">
        <v>11</v>
      </c>
      <c r="G148">
        <v>4.7</v>
      </c>
      <c r="H148">
        <v>17</v>
      </c>
      <c r="I148" s="9">
        <v>572</v>
      </c>
      <c r="J148" t="s">
        <v>79</v>
      </c>
      <c r="K148" s="9">
        <v>2500</v>
      </c>
      <c r="L148" s="10">
        <v>0.23</v>
      </c>
      <c r="M148" t="s">
        <v>408</v>
      </c>
      <c r="N148" t="s">
        <v>94</v>
      </c>
    </row>
    <row r="149" spans="1:14" ht="14.5" x14ac:dyDescent="0.35">
      <c r="A149" t="s">
        <v>429</v>
      </c>
      <c r="B149" t="s">
        <v>430</v>
      </c>
      <c r="C149" t="s">
        <v>78</v>
      </c>
      <c r="D149">
        <v>169</v>
      </c>
      <c r="E149">
        <v>739</v>
      </c>
      <c r="F149">
        <v>29.3</v>
      </c>
      <c r="G149">
        <v>11.5</v>
      </c>
      <c r="H149">
        <v>23</v>
      </c>
      <c r="I149" s="9">
        <v>1739</v>
      </c>
      <c r="J149" t="s">
        <v>84</v>
      </c>
      <c r="K149" s="9">
        <v>2500</v>
      </c>
      <c r="L149" s="10">
        <v>0.2</v>
      </c>
      <c r="M149" t="s">
        <v>386</v>
      </c>
      <c r="N149" t="s">
        <v>81</v>
      </c>
    </row>
    <row r="150" spans="1:14" ht="14.5" x14ac:dyDescent="0.35">
      <c r="A150" t="s">
        <v>431</v>
      </c>
      <c r="B150" t="s">
        <v>432</v>
      </c>
      <c r="C150" t="s">
        <v>88</v>
      </c>
      <c r="D150">
        <v>570</v>
      </c>
      <c r="E150">
        <v>126</v>
      </c>
      <c r="F150">
        <v>5.6</v>
      </c>
      <c r="G150">
        <v>3.3</v>
      </c>
      <c r="H150">
        <v>20</v>
      </c>
      <c r="I150" s="9">
        <v>75</v>
      </c>
      <c r="J150" t="s">
        <v>110</v>
      </c>
      <c r="K150" s="9">
        <v>1500</v>
      </c>
      <c r="L150" s="10">
        <v>0.23</v>
      </c>
      <c r="M150" t="s">
        <v>362</v>
      </c>
      <c r="N150" t="s">
        <v>100</v>
      </c>
    </row>
    <row r="151" spans="1:14" ht="14.5" x14ac:dyDescent="0.35">
      <c r="A151" t="s">
        <v>433</v>
      </c>
      <c r="B151" t="s">
        <v>434</v>
      </c>
      <c r="C151" t="s">
        <v>106</v>
      </c>
      <c r="D151">
        <v>186</v>
      </c>
      <c r="E151">
        <v>28</v>
      </c>
      <c r="F151">
        <v>1.5</v>
      </c>
      <c r="G151">
        <v>0.5</v>
      </c>
      <c r="H151">
        <v>16</v>
      </c>
      <c r="I151" s="9">
        <v>160</v>
      </c>
      <c r="J151" t="s">
        <v>79</v>
      </c>
      <c r="K151" s="9">
        <v>2000</v>
      </c>
      <c r="L151" s="10">
        <v>0.21</v>
      </c>
      <c r="M151" t="s">
        <v>117</v>
      </c>
      <c r="N151" t="s">
        <v>81</v>
      </c>
    </row>
  </sheetData>
  <autoFilter ref="A1:N15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
  <sheetViews>
    <sheetView zoomScaleNormal="100" workbookViewId="0">
      <pane ySplit="1" topLeftCell="A2" activePane="bottomLeft" state="frozen"/>
      <selection pane="bottomLeft"/>
    </sheetView>
  </sheetViews>
  <sheetFormatPr defaultColWidth="8.6328125" defaultRowHeight="12.5" x14ac:dyDescent="0.25"/>
  <cols>
    <col min="1" max="1" width="26" customWidth="1"/>
    <col min="2" max="2" width="34" customWidth="1"/>
    <col min="3" max="3" width="16" customWidth="1"/>
    <col min="4" max="4" width="60" customWidth="1"/>
    <col min="5" max="6" width="16" customWidth="1"/>
  </cols>
  <sheetData>
    <row r="1" spans="1:6" ht="26" x14ac:dyDescent="0.25">
      <c r="A1" s="6" t="s">
        <v>435</v>
      </c>
      <c r="B1" s="6" t="s">
        <v>436</v>
      </c>
      <c r="C1" s="6" t="s">
        <v>437</v>
      </c>
      <c r="D1" s="6" t="s">
        <v>438</v>
      </c>
      <c r="E1" s="6" t="s">
        <v>439</v>
      </c>
      <c r="F1" s="6" t="s">
        <v>440</v>
      </c>
    </row>
    <row r="2" spans="1:6" x14ac:dyDescent="0.25">
      <c r="A2" t="s">
        <v>441</v>
      </c>
      <c r="B2" t="s">
        <v>62</v>
      </c>
      <c r="C2" t="s">
        <v>442</v>
      </c>
      <c r="D2" t="s">
        <v>76</v>
      </c>
      <c r="E2">
        <v>150</v>
      </c>
      <c r="F2">
        <v>150</v>
      </c>
    </row>
    <row r="3" spans="1:6" x14ac:dyDescent="0.25">
      <c r="A3" t="s">
        <v>441</v>
      </c>
      <c r="B3" t="s">
        <v>63</v>
      </c>
      <c r="C3" t="s">
        <v>442</v>
      </c>
      <c r="D3" t="s">
        <v>77</v>
      </c>
      <c r="E3">
        <v>150</v>
      </c>
      <c r="F3">
        <v>109</v>
      </c>
    </row>
    <row r="4" spans="1:6" x14ac:dyDescent="0.25">
      <c r="A4" t="s">
        <v>441</v>
      </c>
      <c r="B4" t="s">
        <v>64</v>
      </c>
      <c r="C4" t="s">
        <v>442</v>
      </c>
      <c r="D4" t="s">
        <v>78</v>
      </c>
      <c r="E4">
        <v>150</v>
      </c>
      <c r="F4">
        <v>5</v>
      </c>
    </row>
    <row r="5" spans="1:6" x14ac:dyDescent="0.25">
      <c r="A5" t="s">
        <v>441</v>
      </c>
      <c r="B5" t="s">
        <v>65</v>
      </c>
      <c r="C5" t="s">
        <v>443</v>
      </c>
      <c r="D5" t="s">
        <v>444</v>
      </c>
      <c r="E5">
        <v>150</v>
      </c>
      <c r="F5">
        <v>134</v>
      </c>
    </row>
    <row r="6" spans="1:6" x14ac:dyDescent="0.25">
      <c r="A6" t="s">
        <v>441</v>
      </c>
      <c r="B6" t="s">
        <v>66</v>
      </c>
      <c r="C6" t="s">
        <v>443</v>
      </c>
      <c r="D6" t="s">
        <v>445</v>
      </c>
      <c r="E6">
        <v>150</v>
      </c>
      <c r="F6">
        <v>127</v>
      </c>
    </row>
    <row r="7" spans="1:6" x14ac:dyDescent="0.25">
      <c r="A7" t="s">
        <v>441</v>
      </c>
      <c r="B7" t="s">
        <v>67</v>
      </c>
      <c r="C7" t="s">
        <v>446</v>
      </c>
      <c r="D7" t="s">
        <v>447</v>
      </c>
      <c r="E7">
        <v>150</v>
      </c>
      <c r="F7">
        <v>112</v>
      </c>
    </row>
    <row r="8" spans="1:6" x14ac:dyDescent="0.25">
      <c r="A8" t="s">
        <v>441</v>
      </c>
      <c r="B8" t="s">
        <v>68</v>
      </c>
      <c r="C8" t="s">
        <v>446</v>
      </c>
      <c r="D8" t="s">
        <v>448</v>
      </c>
      <c r="E8">
        <v>150</v>
      </c>
      <c r="F8">
        <v>82</v>
      </c>
    </row>
    <row r="9" spans="1:6" x14ac:dyDescent="0.25">
      <c r="A9" t="s">
        <v>441</v>
      </c>
      <c r="B9" t="s">
        <v>69</v>
      </c>
      <c r="C9" t="s">
        <v>443</v>
      </c>
      <c r="D9" t="s">
        <v>449</v>
      </c>
      <c r="E9">
        <v>150</v>
      </c>
      <c r="F9">
        <v>27</v>
      </c>
    </row>
    <row r="10" spans="1:6" x14ac:dyDescent="0.25">
      <c r="A10" t="s">
        <v>441</v>
      </c>
      <c r="B10" t="s">
        <v>70</v>
      </c>
      <c r="C10" t="s">
        <v>443</v>
      </c>
      <c r="D10" t="s">
        <v>450</v>
      </c>
      <c r="E10">
        <v>150</v>
      </c>
      <c r="F10">
        <v>138</v>
      </c>
    </row>
    <row r="11" spans="1:6" x14ac:dyDescent="0.25">
      <c r="A11" t="s">
        <v>441</v>
      </c>
      <c r="B11" t="s">
        <v>71</v>
      </c>
      <c r="C11" t="s">
        <v>442</v>
      </c>
      <c r="D11" t="s">
        <v>79</v>
      </c>
      <c r="E11">
        <v>150</v>
      </c>
      <c r="F11">
        <v>5</v>
      </c>
    </row>
    <row r="12" spans="1:6" x14ac:dyDescent="0.25">
      <c r="A12" t="s">
        <v>441</v>
      </c>
      <c r="B12" t="s">
        <v>72</v>
      </c>
      <c r="C12" t="s">
        <v>443</v>
      </c>
      <c r="D12" t="s">
        <v>451</v>
      </c>
      <c r="E12">
        <v>150</v>
      </c>
      <c r="F12">
        <v>4</v>
      </c>
    </row>
    <row r="13" spans="1:6" x14ac:dyDescent="0.25">
      <c r="A13" t="s">
        <v>441</v>
      </c>
      <c r="B13" t="s">
        <v>73</v>
      </c>
      <c r="C13" t="s">
        <v>446</v>
      </c>
      <c r="D13" t="s">
        <v>452</v>
      </c>
      <c r="E13">
        <v>150</v>
      </c>
      <c r="F13">
        <v>8</v>
      </c>
    </row>
    <row r="14" spans="1:6" x14ac:dyDescent="0.25">
      <c r="A14" t="s">
        <v>441</v>
      </c>
      <c r="B14" t="s">
        <v>74</v>
      </c>
      <c r="C14" t="s">
        <v>442</v>
      </c>
      <c r="D14" t="s">
        <v>80</v>
      </c>
      <c r="E14">
        <v>150</v>
      </c>
      <c r="F14">
        <v>87</v>
      </c>
    </row>
    <row r="15" spans="1:6" x14ac:dyDescent="0.25">
      <c r="A15" t="s">
        <v>441</v>
      </c>
      <c r="B15" t="s">
        <v>75</v>
      </c>
      <c r="C15" t="s">
        <v>442</v>
      </c>
      <c r="D15" t="s">
        <v>81</v>
      </c>
      <c r="E15">
        <v>150</v>
      </c>
      <c r="F15">
        <v>3</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9"/>
  <sheetViews>
    <sheetView topLeftCell="F1" zoomScaleNormal="100" workbookViewId="0">
      <pane ySplit="3" topLeftCell="A4" activePane="bottomLeft" state="frozen"/>
      <selection pane="bottomLeft" activeCell="J24" sqref="J24"/>
    </sheetView>
  </sheetViews>
  <sheetFormatPr defaultColWidth="8.6328125" defaultRowHeight="12.5" x14ac:dyDescent="0.25"/>
  <cols>
    <col min="1" max="1" width="5" customWidth="1"/>
    <col min="2" max="2" width="12" customWidth="1"/>
    <col min="3" max="3" width="16" customWidth="1"/>
    <col min="4" max="5" width="18" customWidth="1"/>
    <col min="6" max="6" width="50" customWidth="1"/>
    <col min="7" max="8" width="36" customWidth="1"/>
    <col min="9" max="9" width="12" customWidth="1"/>
    <col min="10" max="10" width="22" customWidth="1"/>
  </cols>
  <sheetData>
    <row r="1" spans="1:10" ht="13" x14ac:dyDescent="0.3">
      <c r="A1" s="8" t="s">
        <v>453</v>
      </c>
    </row>
    <row r="2" spans="1:10" ht="13" x14ac:dyDescent="0.3">
      <c r="A2" s="11" t="s">
        <v>454</v>
      </c>
    </row>
    <row r="3" spans="1:10" ht="26" x14ac:dyDescent="0.25">
      <c r="A3" s="6" t="s">
        <v>455</v>
      </c>
      <c r="B3" s="6" t="s">
        <v>456</v>
      </c>
      <c r="C3" s="6" t="s">
        <v>457</v>
      </c>
      <c r="D3" s="6" t="s">
        <v>458</v>
      </c>
      <c r="E3" s="6" t="s">
        <v>459</v>
      </c>
      <c r="F3" s="6" t="s">
        <v>460</v>
      </c>
      <c r="G3" s="6" t="s">
        <v>461</v>
      </c>
      <c r="H3" s="6" t="s">
        <v>462</v>
      </c>
      <c r="I3" s="6" t="s">
        <v>463</v>
      </c>
      <c r="J3" s="6" t="s">
        <v>464</v>
      </c>
    </row>
    <row r="4" spans="1:10" ht="39" x14ac:dyDescent="0.25">
      <c r="A4" s="12">
        <v>1</v>
      </c>
      <c r="B4" s="13">
        <v>46034</v>
      </c>
      <c r="C4" s="12" t="s">
        <v>465</v>
      </c>
      <c r="D4" s="12" t="s">
        <v>466</v>
      </c>
      <c r="E4" s="12" t="s">
        <v>467</v>
      </c>
      <c r="F4" s="12" t="s">
        <v>468</v>
      </c>
      <c r="G4" s="12" t="s">
        <v>469</v>
      </c>
      <c r="H4" s="12" t="s">
        <v>470</v>
      </c>
      <c r="I4" s="12" t="s">
        <v>471</v>
      </c>
      <c r="J4" s="12" t="s">
        <v>472</v>
      </c>
    </row>
    <row r="5" spans="1:10" ht="58" x14ac:dyDescent="0.25">
      <c r="A5" s="7">
        <v>2</v>
      </c>
      <c r="B5" s="14"/>
      <c r="C5" s="15"/>
      <c r="D5" s="15"/>
      <c r="E5" s="15"/>
      <c r="F5" s="15" t="s">
        <v>473</v>
      </c>
      <c r="G5" s="15" t="s">
        <v>493</v>
      </c>
      <c r="H5" s="15" t="s">
        <v>513</v>
      </c>
      <c r="I5" s="15" t="s">
        <v>532</v>
      </c>
      <c r="J5" s="16" t="s">
        <v>472</v>
      </c>
    </row>
    <row r="6" spans="1:10" ht="58" x14ac:dyDescent="0.25">
      <c r="A6" s="7">
        <v>3</v>
      </c>
      <c r="B6" s="14"/>
      <c r="C6" s="15"/>
      <c r="D6" s="15"/>
      <c r="E6" s="15"/>
      <c r="F6" s="15" t="s">
        <v>474</v>
      </c>
      <c r="G6" s="15" t="s">
        <v>494</v>
      </c>
      <c r="H6" s="15" t="s">
        <v>514</v>
      </c>
      <c r="I6" s="15" t="s">
        <v>532</v>
      </c>
      <c r="J6" s="16" t="s">
        <v>534</v>
      </c>
    </row>
    <row r="7" spans="1:10" ht="58" x14ac:dyDescent="0.25">
      <c r="A7" s="7">
        <v>4</v>
      </c>
      <c r="B7" s="14"/>
      <c r="C7" s="15"/>
      <c r="D7" s="15"/>
      <c r="E7" s="15"/>
      <c r="F7" s="15" t="s">
        <v>475</v>
      </c>
      <c r="G7" s="15" t="s">
        <v>495</v>
      </c>
      <c r="H7" s="15" t="s">
        <v>515</v>
      </c>
      <c r="I7" s="15" t="s">
        <v>532</v>
      </c>
      <c r="J7" s="16" t="s">
        <v>535</v>
      </c>
    </row>
    <row r="8" spans="1:10" ht="58" x14ac:dyDescent="0.25">
      <c r="A8" s="7">
        <v>5</v>
      </c>
      <c r="B8" s="14"/>
      <c r="C8" s="15"/>
      <c r="D8" s="15"/>
      <c r="E8" s="15"/>
      <c r="F8" s="15" t="s">
        <v>476</v>
      </c>
      <c r="G8" s="15" t="s">
        <v>496</v>
      </c>
      <c r="H8" s="15" t="s">
        <v>516</v>
      </c>
      <c r="I8" s="15" t="s">
        <v>532</v>
      </c>
      <c r="J8" s="16" t="s">
        <v>536</v>
      </c>
    </row>
    <row r="9" spans="1:10" ht="72.5" x14ac:dyDescent="0.25">
      <c r="A9" s="7">
        <v>6</v>
      </c>
      <c r="B9" s="14"/>
      <c r="C9" s="15"/>
      <c r="D9" s="15"/>
      <c r="E9" s="15"/>
      <c r="F9" s="15" t="s">
        <v>477</v>
      </c>
      <c r="G9" s="15" t="s">
        <v>497</v>
      </c>
      <c r="H9" s="15" t="s">
        <v>517</v>
      </c>
      <c r="I9" s="15" t="s">
        <v>532</v>
      </c>
      <c r="J9" s="16" t="s">
        <v>537</v>
      </c>
    </row>
    <row r="10" spans="1:10" ht="58" x14ac:dyDescent="0.25">
      <c r="A10" s="7">
        <v>7</v>
      </c>
      <c r="B10" s="14"/>
      <c r="C10" s="15"/>
      <c r="D10" s="15"/>
      <c r="E10" s="15"/>
      <c r="F10" s="15" t="s">
        <v>478</v>
      </c>
      <c r="G10" s="15" t="s">
        <v>498</v>
      </c>
      <c r="H10" s="15" t="s">
        <v>518</v>
      </c>
      <c r="I10" s="15" t="s">
        <v>532</v>
      </c>
      <c r="J10" s="16" t="s">
        <v>538</v>
      </c>
    </row>
    <row r="11" spans="1:10" ht="58" x14ac:dyDescent="0.25">
      <c r="A11" s="7">
        <v>8</v>
      </c>
      <c r="B11" s="14"/>
      <c r="C11" s="15"/>
      <c r="D11" s="15"/>
      <c r="E11" s="15"/>
      <c r="F11" s="15" t="s">
        <v>479</v>
      </c>
      <c r="G11" s="15" t="s">
        <v>499</v>
      </c>
      <c r="H11" s="15" t="s">
        <v>519</v>
      </c>
      <c r="I11" s="15" t="s">
        <v>532</v>
      </c>
      <c r="J11" s="16" t="s">
        <v>539</v>
      </c>
    </row>
    <row r="12" spans="1:10" ht="58" x14ac:dyDescent="0.25">
      <c r="A12" s="7">
        <v>9</v>
      </c>
      <c r="B12" s="14"/>
      <c r="C12" s="15"/>
      <c r="D12" s="15"/>
      <c r="E12" s="15"/>
      <c r="F12" s="15" t="s">
        <v>480</v>
      </c>
      <c r="G12" s="15" t="s">
        <v>500</v>
      </c>
      <c r="H12" s="15" t="s">
        <v>520</v>
      </c>
      <c r="I12" s="15" t="s">
        <v>532</v>
      </c>
      <c r="J12" s="16" t="s">
        <v>540</v>
      </c>
    </row>
    <row r="13" spans="1:10" ht="130.5" x14ac:dyDescent="0.25">
      <c r="A13" s="7">
        <v>10</v>
      </c>
      <c r="B13" s="14"/>
      <c r="C13" s="15"/>
      <c r="D13" s="15"/>
      <c r="E13" s="15"/>
      <c r="F13" s="15" t="s">
        <v>481</v>
      </c>
      <c r="G13" s="15" t="s">
        <v>501</v>
      </c>
      <c r="H13" s="15" t="s">
        <v>521</v>
      </c>
      <c r="I13" s="15" t="s">
        <v>532</v>
      </c>
      <c r="J13" s="16" t="s">
        <v>541</v>
      </c>
    </row>
    <row r="14" spans="1:10" ht="72.5" x14ac:dyDescent="0.25">
      <c r="A14" s="7">
        <v>11</v>
      </c>
      <c r="B14" s="14"/>
      <c r="C14" s="15"/>
      <c r="D14" s="15"/>
      <c r="E14" s="15"/>
      <c r="F14" s="15" t="s">
        <v>482</v>
      </c>
      <c r="G14" s="15" t="s">
        <v>502</v>
      </c>
      <c r="H14" s="15" t="s">
        <v>522</v>
      </c>
      <c r="I14" s="15" t="s">
        <v>532</v>
      </c>
      <c r="J14" s="16" t="s">
        <v>542</v>
      </c>
    </row>
    <row r="15" spans="1:10" ht="72.5" x14ac:dyDescent="0.25">
      <c r="A15" s="7">
        <v>12</v>
      </c>
      <c r="B15" s="14"/>
      <c r="C15" s="15"/>
      <c r="D15" s="15"/>
      <c r="E15" s="15"/>
      <c r="F15" s="15" t="s">
        <v>483</v>
      </c>
      <c r="G15" s="15" t="s">
        <v>503</v>
      </c>
      <c r="H15" s="15" t="s">
        <v>523</v>
      </c>
      <c r="I15" s="15" t="s">
        <v>532</v>
      </c>
      <c r="J15" s="16" t="s">
        <v>543</v>
      </c>
    </row>
    <row r="16" spans="1:10" ht="58" x14ac:dyDescent="0.25">
      <c r="A16" s="7">
        <v>13</v>
      </c>
      <c r="B16" s="14"/>
      <c r="C16" s="15"/>
      <c r="D16" s="15"/>
      <c r="E16" s="15"/>
      <c r="F16" s="15" t="s">
        <v>484</v>
      </c>
      <c r="G16" s="15" t="s">
        <v>504</v>
      </c>
      <c r="H16" s="15" t="s">
        <v>524</v>
      </c>
      <c r="I16" s="15" t="s">
        <v>532</v>
      </c>
      <c r="J16" s="16" t="s">
        <v>544</v>
      </c>
    </row>
    <row r="17" spans="1:10" ht="58" x14ac:dyDescent="0.25">
      <c r="A17" s="7">
        <v>14</v>
      </c>
      <c r="B17" s="14"/>
      <c r="C17" s="15"/>
      <c r="D17" s="15"/>
      <c r="E17" s="15"/>
      <c r="F17" s="15" t="s">
        <v>485</v>
      </c>
      <c r="G17" s="15" t="s">
        <v>505</v>
      </c>
      <c r="H17" s="15" t="s">
        <v>525</v>
      </c>
      <c r="I17" s="15" t="s">
        <v>471</v>
      </c>
      <c r="J17" s="16" t="s">
        <v>545</v>
      </c>
    </row>
    <row r="18" spans="1:10" ht="58" x14ac:dyDescent="0.25">
      <c r="A18" s="7">
        <v>15</v>
      </c>
      <c r="B18" s="14"/>
      <c r="C18" s="15"/>
      <c r="D18" s="15"/>
      <c r="E18" s="15"/>
      <c r="F18" s="15" t="s">
        <v>486</v>
      </c>
      <c r="G18" s="15" t="s">
        <v>506</v>
      </c>
      <c r="H18" s="15" t="s">
        <v>526</v>
      </c>
      <c r="I18" s="15" t="s">
        <v>471</v>
      </c>
      <c r="J18" s="16" t="s">
        <v>546</v>
      </c>
    </row>
    <row r="19" spans="1:10" ht="58" x14ac:dyDescent="0.25">
      <c r="A19" s="7">
        <v>16</v>
      </c>
      <c r="B19" s="14"/>
      <c r="C19" s="15"/>
      <c r="D19" s="15"/>
      <c r="E19" s="15"/>
      <c r="F19" s="15" t="s">
        <v>487</v>
      </c>
      <c r="G19" s="15" t="s">
        <v>507</v>
      </c>
      <c r="H19" s="15" t="s">
        <v>527</v>
      </c>
      <c r="I19" s="15" t="s">
        <v>471</v>
      </c>
      <c r="J19" s="16" t="s">
        <v>547</v>
      </c>
    </row>
    <row r="20" spans="1:10" ht="72.5" x14ac:dyDescent="0.25">
      <c r="A20" s="7">
        <v>17</v>
      </c>
      <c r="B20" s="14"/>
      <c r="C20" s="15"/>
      <c r="D20" s="15"/>
      <c r="E20" s="15"/>
      <c r="F20" s="15" t="s">
        <v>488</v>
      </c>
      <c r="G20" s="15" t="s">
        <v>508</v>
      </c>
      <c r="H20" s="15" t="s">
        <v>528</v>
      </c>
      <c r="I20" s="15" t="s">
        <v>471</v>
      </c>
      <c r="J20" s="16" t="s">
        <v>548</v>
      </c>
    </row>
    <row r="21" spans="1:10" ht="72.5" x14ac:dyDescent="0.25">
      <c r="A21" s="7">
        <v>18</v>
      </c>
      <c r="B21" s="14"/>
      <c r="C21" s="15"/>
      <c r="D21" s="15"/>
      <c r="E21" s="15"/>
      <c r="F21" s="15" t="s">
        <v>489</v>
      </c>
      <c r="G21" s="15" t="s">
        <v>509</v>
      </c>
      <c r="H21" s="15" t="s">
        <v>529</v>
      </c>
      <c r="I21" s="15" t="s">
        <v>471</v>
      </c>
      <c r="J21" s="16" t="s">
        <v>549</v>
      </c>
    </row>
    <row r="22" spans="1:10" ht="58" x14ac:dyDescent="0.25">
      <c r="A22" s="7">
        <v>19</v>
      </c>
      <c r="B22" s="14"/>
      <c r="C22" s="15"/>
      <c r="D22" s="15"/>
      <c r="E22" s="15"/>
      <c r="F22" s="15" t="s">
        <v>490</v>
      </c>
      <c r="G22" s="15" t="s">
        <v>510</v>
      </c>
      <c r="H22" s="15" t="s">
        <v>530</v>
      </c>
      <c r="I22" s="15" t="s">
        <v>471</v>
      </c>
      <c r="J22" s="16" t="s">
        <v>550</v>
      </c>
    </row>
    <row r="23" spans="1:10" ht="72.5" x14ac:dyDescent="0.25">
      <c r="A23" s="7">
        <v>20</v>
      </c>
      <c r="B23" s="14"/>
      <c r="C23" s="15"/>
      <c r="D23" s="15"/>
      <c r="E23" s="15"/>
      <c r="F23" s="15" t="s">
        <v>491</v>
      </c>
      <c r="G23" s="15" t="s">
        <v>511</v>
      </c>
      <c r="H23" s="15" t="s">
        <v>531</v>
      </c>
      <c r="I23" s="15" t="s">
        <v>471</v>
      </c>
      <c r="J23" s="16" t="s">
        <v>551</v>
      </c>
    </row>
    <row r="24" spans="1:10" ht="116" x14ac:dyDescent="0.25">
      <c r="A24" s="7">
        <v>21</v>
      </c>
      <c r="B24" s="14"/>
      <c r="C24" s="15"/>
      <c r="D24" s="15"/>
      <c r="E24" s="15"/>
      <c r="F24" s="15" t="s">
        <v>492</v>
      </c>
      <c r="G24" s="15" t="s">
        <v>512</v>
      </c>
      <c r="H24" s="15" t="s">
        <v>533</v>
      </c>
      <c r="I24" s="15" t="s">
        <v>532</v>
      </c>
      <c r="J24" s="16" t="s">
        <v>552</v>
      </c>
    </row>
    <row r="25" spans="1:10" ht="14.5" x14ac:dyDescent="0.25">
      <c r="A25" s="7">
        <v>22</v>
      </c>
      <c r="B25" s="14"/>
      <c r="C25" s="15"/>
      <c r="D25" s="15"/>
      <c r="E25" s="15"/>
      <c r="F25" s="15"/>
      <c r="G25" s="15"/>
      <c r="H25" s="15"/>
      <c r="I25" s="15"/>
      <c r="J25" s="15"/>
    </row>
    <row r="26" spans="1:10" ht="14.5" x14ac:dyDescent="0.25">
      <c r="A26" s="7">
        <v>23</v>
      </c>
      <c r="B26" s="14"/>
      <c r="C26" s="15"/>
      <c r="D26" s="15"/>
      <c r="E26" s="15"/>
      <c r="F26" s="15"/>
      <c r="G26" s="15"/>
      <c r="H26" s="15"/>
      <c r="I26" s="15"/>
      <c r="J26" s="15"/>
    </row>
    <row r="27" spans="1:10" ht="14.5" x14ac:dyDescent="0.25">
      <c r="A27" s="7">
        <v>24</v>
      </c>
      <c r="B27" s="14"/>
      <c r="C27" s="15"/>
      <c r="D27" s="15"/>
      <c r="E27" s="15"/>
      <c r="F27" s="15"/>
      <c r="G27" s="15"/>
      <c r="H27" s="15"/>
      <c r="I27" s="15"/>
      <c r="J27" s="15"/>
    </row>
    <row r="28" spans="1:10" ht="14.5" x14ac:dyDescent="0.25">
      <c r="A28" s="7">
        <v>25</v>
      </c>
      <c r="B28" s="14"/>
      <c r="C28" s="15"/>
      <c r="D28" s="15"/>
      <c r="E28" s="15"/>
      <c r="F28" s="15"/>
      <c r="G28" s="15"/>
      <c r="H28" s="15"/>
      <c r="I28" s="15"/>
      <c r="J28" s="15"/>
    </row>
    <row r="29" spans="1:10" ht="14.5" x14ac:dyDescent="0.25">
      <c r="A29" s="7">
        <v>26</v>
      </c>
      <c r="B29" s="14"/>
      <c r="C29" s="15"/>
      <c r="D29" s="15"/>
      <c r="E29" s="15"/>
      <c r="F29" s="15"/>
      <c r="G29" s="15"/>
      <c r="H29" s="15"/>
      <c r="I29" s="15"/>
      <c r="J29" s="15"/>
    </row>
  </sheetData>
  <dataValidations count="1">
    <dataValidation type="list" allowBlank="1" sqref="I5:I29" xr:uid="{00000000-0002-0000-0300-000000000000}">
      <formula1>"Kept,Rejected,Partly kept"</formula1>
      <formula2>0</formula2>
    </dataValidation>
  </dataValidations>
  <hyperlinks>
    <hyperlink ref="J5" r:id="rId1" xr:uid="{CEEE23A6-D784-465B-A0C9-32B5CBE958C0}"/>
    <hyperlink ref="J6" r:id="rId2" xr:uid="{F5E8E91C-F333-4405-BF30-E23ECCFBD562}"/>
    <hyperlink ref="J7" r:id="rId3" xr:uid="{4D7518B4-5844-4A94-A5E6-22BB14E3DAA8}"/>
    <hyperlink ref="J8" r:id="rId4" xr:uid="{A48BD648-4049-4D0D-BEF6-23FAF02EDAD6}"/>
    <hyperlink ref="J9" r:id="rId5" xr:uid="{65C4617D-FC88-410E-81BF-017BAB9E2E35}"/>
    <hyperlink ref="J10" r:id="rId6" xr:uid="{64D620C0-B50F-4C36-86E2-B83F6B95E5A9}"/>
    <hyperlink ref="J11" r:id="rId7" xr:uid="{4FC1C70D-10A9-4F8F-BE11-C0A86CB70B0F}"/>
    <hyperlink ref="J12" r:id="rId8" xr:uid="{59EE9315-3DE6-418C-ABDE-132C959EE032}"/>
    <hyperlink ref="J13" r:id="rId9" xr:uid="{8AF24085-6AC3-4ABF-BF78-50D169E661E8}"/>
    <hyperlink ref="J15" r:id="rId10" xr:uid="{6A648611-7244-4950-9DE3-DA36A312847C}"/>
    <hyperlink ref="J14" r:id="rId11" xr:uid="{B88946E9-A17D-40DE-A7EF-89DE05784E92}"/>
    <hyperlink ref="J16" r:id="rId12" xr:uid="{EA1FF1FA-78FA-4BF2-92E9-555B1A97A9EB}"/>
    <hyperlink ref="J17" r:id="rId13" xr:uid="{56BF3DB2-0B5A-45D1-A4DB-251F51C4A523}"/>
    <hyperlink ref="J18" r:id="rId14" xr:uid="{38F67986-A336-49EA-BC76-7EAC78BAFC9D}"/>
    <hyperlink ref="J19" r:id="rId15" xr:uid="{E3348B7D-9528-4DEE-A1F6-7F748289F0B5}"/>
    <hyperlink ref="J20" r:id="rId16" xr:uid="{E570346D-CDCD-45AD-9D16-4AAE6E0949D1}"/>
    <hyperlink ref="J21" r:id="rId17" xr:uid="{29CD8DE0-9DE6-4F8E-91CC-DD13C6E13658}"/>
    <hyperlink ref="J22" r:id="rId18" xr:uid="{973188A0-B0EE-4EC7-80A8-14843BEDC523}"/>
    <hyperlink ref="J23" r:id="rId19" xr:uid="{0B9EBF6E-B5C4-4C20-AA79-92DC99545C5A}"/>
    <hyperlink ref="J24" r:id="rId20" xr:uid="{9ADAD673-4F66-4F5C-BDB3-3CDDD82244B1}"/>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Task Brief</vt:lpstr>
      <vt:lpstr>Inventory</vt:lpstr>
      <vt:lpstr>Data Dictionary</vt:lpstr>
      <vt:lpstr>AI Use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Akshita Mundra</cp:lastModifiedBy>
  <cp:revision>0</cp:revision>
  <dcterms:created xsi:type="dcterms:W3CDTF">2026-09-25T16:15:22Z</dcterms:created>
  <dcterms:modified xsi:type="dcterms:W3CDTF">2026-10-04T09:55:30Z</dcterms:modified>
  <dc:language>en-US</dc:language>
</cp:coreProperties>
</file>